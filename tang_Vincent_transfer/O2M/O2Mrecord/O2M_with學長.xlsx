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2M\O2Mrecord\"/>
    </mc:Choice>
  </mc:AlternateContent>
  <xr:revisionPtr revIDLastSave="0" documentId="13_ncr:1_{6F05A3B2-6EE1-4120-B41E-9AF5B0194298}" xr6:coauthVersionLast="36" xr6:coauthVersionMax="36" xr10:uidLastSave="{00000000-0000-0000-0000-000000000000}"/>
  <bookViews>
    <workbookView xWindow="0" yWindow="0" windowWidth="7635" windowHeight="2610" xr2:uid="{7053FCDD-DB09-4AC3-9A31-10E4E5265AA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2" i="1" l="1"/>
  <c r="AA63" i="1" l="1"/>
  <c r="V63" i="1"/>
  <c r="Q63" i="1"/>
  <c r="Z64" i="1"/>
  <c r="Z65" i="1" s="1"/>
  <c r="Z66" i="1" s="1"/>
  <c r="Z67" i="1" s="1"/>
  <c r="Z68" i="1" s="1"/>
  <c r="Z69" i="1" s="1"/>
  <c r="Z70" i="1" s="1"/>
  <c r="Y64" i="1"/>
  <c r="Y65" i="1" s="1"/>
  <c r="Y66" i="1" s="1"/>
  <c r="Y67" i="1" s="1"/>
  <c r="Y68" i="1" s="1"/>
  <c r="Y69" i="1" s="1"/>
  <c r="Y70" i="1" s="1"/>
  <c r="X64" i="1"/>
  <c r="X65" i="1" s="1"/>
  <c r="X66" i="1" s="1"/>
  <c r="X67" i="1" s="1"/>
  <c r="X68" i="1" s="1"/>
  <c r="X69" i="1" s="1"/>
  <c r="X70" i="1" s="1"/>
  <c r="W64" i="1"/>
  <c r="W65" i="1" s="1"/>
  <c r="W66" i="1" s="1"/>
  <c r="W67" i="1" s="1"/>
  <c r="W68" i="1" s="1"/>
  <c r="W69" i="1" s="1"/>
  <c r="W70" i="1" s="1"/>
  <c r="AA70" i="1" s="1"/>
  <c r="U64" i="1"/>
  <c r="U65" i="1" s="1"/>
  <c r="U66" i="1" s="1"/>
  <c r="U67" i="1" s="1"/>
  <c r="U68" i="1" s="1"/>
  <c r="U69" i="1" s="1"/>
  <c r="U70" i="1" s="1"/>
  <c r="T64" i="1"/>
  <c r="T65" i="1" s="1"/>
  <c r="T66" i="1" s="1"/>
  <c r="T67" i="1" s="1"/>
  <c r="T68" i="1" s="1"/>
  <c r="T69" i="1" s="1"/>
  <c r="T70" i="1" s="1"/>
  <c r="S64" i="1"/>
  <c r="S65" i="1" s="1"/>
  <c r="S66" i="1" s="1"/>
  <c r="S67" i="1" s="1"/>
  <c r="S68" i="1" s="1"/>
  <c r="S69" i="1" s="1"/>
  <c r="S70" i="1" s="1"/>
  <c r="R64" i="1"/>
  <c r="R65" i="1" s="1"/>
  <c r="R66" i="1" s="1"/>
  <c r="R67" i="1" s="1"/>
  <c r="R68" i="1" s="1"/>
  <c r="R69" i="1" s="1"/>
  <c r="R70" i="1" s="1"/>
  <c r="P64" i="1"/>
  <c r="P65" i="1" s="1"/>
  <c r="P66" i="1" s="1"/>
  <c r="P67" i="1" s="1"/>
  <c r="P68" i="1" s="1"/>
  <c r="P69" i="1" s="1"/>
  <c r="P70" i="1" s="1"/>
  <c r="O64" i="1"/>
  <c r="O65" i="1" s="1"/>
  <c r="O66" i="1" s="1"/>
  <c r="O67" i="1" s="1"/>
  <c r="O68" i="1" s="1"/>
  <c r="O69" i="1" s="1"/>
  <c r="O70" i="1" s="1"/>
  <c r="N64" i="1"/>
  <c r="N65" i="1" s="1"/>
  <c r="N66" i="1" s="1"/>
  <c r="N67" i="1" s="1"/>
  <c r="N68" i="1" s="1"/>
  <c r="N69" i="1" s="1"/>
  <c r="N70" i="1" s="1"/>
  <c r="M64" i="1"/>
  <c r="M65" i="1" s="1"/>
  <c r="M66" i="1" s="1"/>
  <c r="M67" i="1" s="1"/>
  <c r="M68" i="1" s="1"/>
  <c r="M69" i="1" s="1"/>
  <c r="M70" i="1" s="1"/>
  <c r="L63" i="1"/>
  <c r="G64" i="1"/>
  <c r="G63" i="1"/>
  <c r="F56" i="1"/>
  <c r="G56" i="1"/>
  <c r="H56" i="1"/>
  <c r="E56" i="1"/>
  <c r="I64" i="1"/>
  <c r="I65" i="1" s="1"/>
  <c r="I66" i="1" s="1"/>
  <c r="I67" i="1" s="1"/>
  <c r="I68" i="1" s="1"/>
  <c r="I69" i="1" s="1"/>
  <c r="I70" i="1" s="1"/>
  <c r="J64" i="1"/>
  <c r="J65" i="1" s="1"/>
  <c r="J66" i="1" s="1"/>
  <c r="J67" i="1" s="1"/>
  <c r="J68" i="1" s="1"/>
  <c r="J69" i="1" s="1"/>
  <c r="J70" i="1" s="1"/>
  <c r="K64" i="1"/>
  <c r="K65" i="1" s="1"/>
  <c r="K66" i="1" s="1"/>
  <c r="K67" i="1" s="1"/>
  <c r="K68" i="1" s="1"/>
  <c r="K69" i="1" s="1"/>
  <c r="K70" i="1" s="1"/>
  <c r="H64" i="1"/>
  <c r="H65" i="1" s="1"/>
  <c r="H66" i="1" s="1"/>
  <c r="H67" i="1" s="1"/>
  <c r="H68" i="1" s="1"/>
  <c r="H69" i="1" s="1"/>
  <c r="H70" i="1" s="1"/>
  <c r="D64" i="1"/>
  <c r="D65" i="1" s="1"/>
  <c r="D66" i="1" s="1"/>
  <c r="D67" i="1" s="1"/>
  <c r="D68" i="1" s="1"/>
  <c r="D69" i="1" s="1"/>
  <c r="D70" i="1" s="1"/>
  <c r="E64" i="1"/>
  <c r="E65" i="1" s="1"/>
  <c r="E66" i="1" s="1"/>
  <c r="E67" i="1" s="1"/>
  <c r="E68" i="1" s="1"/>
  <c r="E69" i="1" s="1"/>
  <c r="E70" i="1" s="1"/>
  <c r="F64" i="1"/>
  <c r="F65" i="1" s="1"/>
  <c r="F66" i="1" s="1"/>
  <c r="F67" i="1" s="1"/>
  <c r="F68" i="1" s="1"/>
  <c r="F69" i="1" s="1"/>
  <c r="F70" i="1" s="1"/>
  <c r="C64" i="1"/>
  <c r="C65" i="1" s="1"/>
  <c r="C66" i="1" s="1"/>
  <c r="C67" i="1" s="1"/>
  <c r="C68" i="1" s="1"/>
  <c r="C69" i="1" s="1"/>
  <c r="C70" i="1" s="1"/>
  <c r="G70" i="1" s="1"/>
  <c r="B64" i="1"/>
  <c r="B65" i="1" s="1"/>
  <c r="B66" i="1" s="1"/>
  <c r="B67" i="1" s="1"/>
  <c r="B68" i="1" s="1"/>
  <c r="B69" i="1" s="1"/>
  <c r="B70" i="1" s="1"/>
  <c r="Q70" i="1" l="1"/>
  <c r="Q65" i="1"/>
  <c r="G67" i="1"/>
  <c r="V64" i="1"/>
  <c r="V70" i="1"/>
  <c r="V65" i="1"/>
  <c r="L70" i="1"/>
  <c r="G69" i="1"/>
  <c r="G68" i="1"/>
  <c r="G66" i="1"/>
  <c r="G65" i="1"/>
  <c r="Q67" i="1"/>
  <c r="Q66" i="1"/>
  <c r="V69" i="1"/>
  <c r="AA65" i="1"/>
  <c r="L64" i="1"/>
  <c r="AA66" i="1"/>
  <c r="L65" i="1"/>
  <c r="L66" i="1"/>
  <c r="AA68" i="1"/>
  <c r="L69" i="1"/>
  <c r="Q64" i="1"/>
  <c r="V66" i="1"/>
  <c r="V67" i="1"/>
  <c r="AA67" i="1"/>
  <c r="L67" i="1"/>
  <c r="Q69" i="1"/>
  <c r="AA69" i="1"/>
  <c r="V68" i="1"/>
  <c r="AA64" i="1"/>
  <c r="L68" i="1"/>
  <c r="Q68" i="1"/>
  <c r="C57" i="1"/>
  <c r="D57" i="1"/>
  <c r="F57" i="1"/>
  <c r="F58" i="1" s="1"/>
  <c r="G57" i="1"/>
  <c r="G58" i="1" s="1"/>
  <c r="H57" i="1"/>
  <c r="H58" i="1" s="1"/>
  <c r="E57" i="1"/>
  <c r="E58" i="1" s="1"/>
  <c r="K53" i="1" l="1"/>
  <c r="O54" i="1"/>
  <c r="N54" i="1"/>
  <c r="M54" i="1"/>
  <c r="L54" i="1"/>
  <c r="S54" i="1"/>
  <c r="R54" i="1"/>
  <c r="Q54" i="1"/>
  <c r="P54" i="1"/>
  <c r="T55" i="1" s="1"/>
  <c r="B55" i="1"/>
  <c r="B57" i="1" s="1"/>
  <c r="O32" i="1" l="1"/>
  <c r="O34" i="1"/>
  <c r="O36" i="1"/>
  <c r="O38" i="1"/>
  <c r="O40" i="1"/>
  <c r="O42" i="1"/>
  <c r="O44" i="1"/>
  <c r="O46" i="1"/>
  <c r="O47" i="1"/>
  <c r="O48" i="1" s="1"/>
  <c r="S32" i="1"/>
  <c r="S34" i="1"/>
  <c r="S36" i="1"/>
  <c r="S38" i="1"/>
  <c r="S40" i="1"/>
  <c r="S42" i="1"/>
  <c r="S44" i="1"/>
  <c r="S46" i="1"/>
  <c r="S47" i="1"/>
  <c r="S48" i="1" s="1"/>
  <c r="V47" i="1"/>
  <c r="V48" i="1" s="1"/>
  <c r="R47" i="1"/>
  <c r="R48" i="1" s="1"/>
  <c r="N47" i="1"/>
  <c r="N48" i="1" s="1"/>
  <c r="U47" i="1"/>
  <c r="U48" i="1" s="1"/>
  <c r="Q47" i="1"/>
  <c r="Q48" i="1" s="1"/>
  <c r="M47" i="1"/>
  <c r="M48" i="1" s="1"/>
  <c r="T47" i="1"/>
  <c r="T48" i="1" s="1"/>
  <c r="P47" i="1"/>
  <c r="P48" i="1" s="1"/>
  <c r="L47" i="1"/>
  <c r="L48" i="1" s="1"/>
  <c r="K47" i="1"/>
  <c r="K48" i="1" s="1"/>
  <c r="J47" i="1"/>
  <c r="I47" i="1"/>
  <c r="H47" i="1"/>
  <c r="G47" i="1"/>
  <c r="F47" i="1"/>
  <c r="E47" i="1"/>
  <c r="D47" i="1"/>
  <c r="C47" i="1"/>
  <c r="V46" i="1"/>
  <c r="R46" i="1"/>
  <c r="N46" i="1"/>
  <c r="U46" i="1"/>
  <c r="Q46" i="1"/>
  <c r="M46" i="1"/>
  <c r="T46" i="1"/>
  <c r="P46" i="1"/>
  <c r="L46" i="1"/>
  <c r="K46" i="1"/>
  <c r="V44" i="1"/>
  <c r="R44" i="1"/>
  <c r="N44" i="1"/>
  <c r="U44" i="1"/>
  <c r="Q44" i="1"/>
  <c r="M44" i="1"/>
  <c r="T44" i="1"/>
  <c r="P44" i="1"/>
  <c r="L44" i="1"/>
  <c r="K44" i="1"/>
  <c r="V42" i="1"/>
  <c r="R42" i="1"/>
  <c r="N42" i="1"/>
  <c r="U42" i="1"/>
  <c r="Q42" i="1"/>
  <c r="M42" i="1"/>
  <c r="T42" i="1"/>
  <c r="P42" i="1"/>
  <c r="L42" i="1"/>
  <c r="K42" i="1"/>
  <c r="V40" i="1"/>
  <c r="R40" i="1"/>
  <c r="N40" i="1"/>
  <c r="U40" i="1"/>
  <c r="Q40" i="1"/>
  <c r="M40" i="1"/>
  <c r="T40" i="1"/>
  <c r="P40" i="1"/>
  <c r="L40" i="1"/>
  <c r="K40" i="1"/>
  <c r="V38" i="1"/>
  <c r="R38" i="1"/>
  <c r="N38" i="1"/>
  <c r="U38" i="1"/>
  <c r="Q38" i="1"/>
  <c r="M38" i="1"/>
  <c r="T38" i="1"/>
  <c r="P38" i="1"/>
  <c r="L38" i="1"/>
  <c r="K38" i="1"/>
  <c r="V36" i="1"/>
  <c r="R36" i="1"/>
  <c r="N36" i="1"/>
  <c r="U36" i="1"/>
  <c r="Q36" i="1"/>
  <c r="M36" i="1"/>
  <c r="T36" i="1"/>
  <c r="P36" i="1"/>
  <c r="L36" i="1"/>
  <c r="K36" i="1"/>
  <c r="V34" i="1"/>
  <c r="R34" i="1"/>
  <c r="N34" i="1"/>
  <c r="U34" i="1"/>
  <c r="Q34" i="1"/>
  <c r="M34" i="1"/>
  <c r="T34" i="1"/>
  <c r="P34" i="1"/>
  <c r="L34" i="1"/>
  <c r="K34" i="1"/>
  <c r="V32" i="1"/>
  <c r="R32" i="1"/>
  <c r="N32" i="1"/>
  <c r="U32" i="1"/>
  <c r="Q32" i="1"/>
  <c r="M32" i="1"/>
  <c r="T32" i="1"/>
  <c r="P32" i="1"/>
  <c r="L32" i="1"/>
  <c r="V23" i="1"/>
  <c r="V24" i="1" s="1"/>
  <c r="L23" i="1"/>
  <c r="L24" i="1" s="1"/>
  <c r="M23" i="1"/>
  <c r="M24" i="1" s="1"/>
  <c r="N23" i="1"/>
  <c r="N24" i="1" s="1"/>
  <c r="O23" i="1"/>
  <c r="O24" i="1" s="1"/>
  <c r="P23" i="1"/>
  <c r="P24" i="1" s="1"/>
  <c r="Q23" i="1"/>
  <c r="Q24" i="1" s="1"/>
  <c r="R23" i="1"/>
  <c r="R24" i="1" s="1"/>
  <c r="S23" i="1"/>
  <c r="S24" i="1" s="1"/>
  <c r="T23" i="1"/>
  <c r="T24" i="1" s="1"/>
  <c r="U23" i="1"/>
  <c r="U24" i="1" s="1"/>
  <c r="K23" i="1"/>
  <c r="K24" i="1" s="1"/>
  <c r="U22" i="1"/>
  <c r="V22" i="1"/>
  <c r="T22" i="1"/>
  <c r="R22" i="1"/>
  <c r="S22" i="1"/>
  <c r="Q22" i="1"/>
  <c r="O22" i="1"/>
  <c r="P22" i="1"/>
  <c r="N22" i="1"/>
  <c r="U20" i="1"/>
  <c r="V20" i="1"/>
  <c r="T20" i="1"/>
  <c r="R20" i="1"/>
  <c r="S20" i="1"/>
  <c r="Q20" i="1"/>
  <c r="O20" i="1"/>
  <c r="P20" i="1"/>
  <c r="N20" i="1"/>
  <c r="U18" i="1"/>
  <c r="V18" i="1"/>
  <c r="T18" i="1"/>
  <c r="R18" i="1"/>
  <c r="S18" i="1"/>
  <c r="Q18" i="1"/>
  <c r="O18" i="1"/>
  <c r="P18" i="1"/>
  <c r="N18" i="1"/>
  <c r="U16" i="1"/>
  <c r="V16" i="1"/>
  <c r="T16" i="1"/>
  <c r="R16" i="1"/>
  <c r="S16" i="1"/>
  <c r="Q16" i="1"/>
  <c r="O16" i="1"/>
  <c r="P16" i="1"/>
  <c r="N16" i="1"/>
  <c r="U14" i="1"/>
  <c r="V14" i="1"/>
  <c r="T14" i="1"/>
  <c r="R14" i="1"/>
  <c r="S14" i="1"/>
  <c r="Q14" i="1"/>
  <c r="O14" i="1"/>
  <c r="P14" i="1"/>
  <c r="N14" i="1"/>
  <c r="U12" i="1"/>
  <c r="V12" i="1"/>
  <c r="T12" i="1"/>
  <c r="R12" i="1"/>
  <c r="S12" i="1"/>
  <c r="Q12" i="1"/>
  <c r="O12" i="1"/>
  <c r="P12" i="1"/>
  <c r="N12" i="1"/>
  <c r="U10" i="1"/>
  <c r="V10" i="1"/>
  <c r="T10" i="1"/>
  <c r="R10" i="1"/>
  <c r="S10" i="1"/>
  <c r="Q10" i="1"/>
  <c r="O10" i="1"/>
  <c r="P10" i="1"/>
  <c r="N10" i="1"/>
  <c r="U8" i="1"/>
  <c r="V8" i="1"/>
  <c r="T8" i="1"/>
  <c r="R8" i="1"/>
  <c r="S8" i="1"/>
  <c r="Q8" i="1"/>
  <c r="O8" i="1"/>
  <c r="P8" i="1"/>
  <c r="N8" i="1"/>
  <c r="L22" i="1"/>
  <c r="M22" i="1"/>
  <c r="K22" i="1"/>
  <c r="L20" i="1"/>
  <c r="M20" i="1"/>
  <c r="K20" i="1"/>
  <c r="L18" i="1"/>
  <c r="M18" i="1"/>
  <c r="K18" i="1"/>
  <c r="L16" i="1"/>
  <c r="M16" i="1"/>
  <c r="K16" i="1"/>
  <c r="L14" i="1"/>
  <c r="M14" i="1"/>
  <c r="K14" i="1"/>
  <c r="L12" i="1"/>
  <c r="M12" i="1"/>
  <c r="K12" i="1"/>
  <c r="L10" i="1"/>
  <c r="M10" i="1"/>
  <c r="K10" i="1"/>
  <c r="L8" i="1"/>
  <c r="M8" i="1"/>
  <c r="K8" i="1"/>
  <c r="C23" i="1"/>
  <c r="D23" i="1"/>
  <c r="E23" i="1"/>
  <c r="F23" i="1"/>
  <c r="G23" i="1"/>
  <c r="H23" i="1"/>
  <c r="I23" i="1"/>
  <c r="J23" i="1"/>
</calcChain>
</file>

<file path=xl/sharedStrings.xml><?xml version="1.0" encoding="utf-8"?>
<sst xmlns="http://schemas.openxmlformats.org/spreadsheetml/2006/main" count="181" uniqueCount="65">
  <si>
    <t>總準確度</t>
    <phoneticPr fontId="2" type="noConversion"/>
  </si>
  <si>
    <t>O2M</t>
    <phoneticPr fontId="2" type="noConversion"/>
  </si>
  <si>
    <t>Lin</t>
    <phoneticPr fontId="2" type="noConversion"/>
  </si>
  <si>
    <t>Average Accuracy</t>
    <phoneticPr fontId="2" type="noConversion"/>
  </si>
  <si>
    <t>Apple</t>
    <phoneticPr fontId="2" type="noConversion"/>
  </si>
  <si>
    <t>Banana</t>
    <phoneticPr fontId="2" type="noConversion"/>
  </si>
  <si>
    <t>Carambola</t>
    <phoneticPr fontId="2" type="noConversion"/>
  </si>
  <si>
    <t>Guava</t>
    <phoneticPr fontId="2" type="noConversion"/>
  </si>
  <si>
    <t>Muskmelon</t>
    <phoneticPr fontId="2" type="noConversion"/>
  </si>
  <si>
    <t>Peach</t>
    <phoneticPr fontId="2" type="noConversion"/>
  </si>
  <si>
    <t>Pear</t>
    <phoneticPr fontId="2" type="noConversion"/>
  </si>
  <si>
    <t>Tomato</t>
    <phoneticPr fontId="2" type="noConversion"/>
  </si>
  <si>
    <t>Size</t>
    <phoneticPr fontId="2" type="noConversion"/>
  </si>
  <si>
    <t>224*224*3</t>
    <phoneticPr fontId="2" type="noConversion"/>
  </si>
  <si>
    <t>28*28*128</t>
  </si>
  <si>
    <t>28*28*128</t>
    <phoneticPr fontId="2" type="noConversion"/>
  </si>
  <si>
    <t>14*14*256</t>
  </si>
  <si>
    <t>14*14*256</t>
    <phoneticPr fontId="2" type="noConversion"/>
  </si>
  <si>
    <t>7*7*512</t>
  </si>
  <si>
    <t>7*7*512</t>
    <phoneticPr fontId="2" type="noConversion"/>
  </si>
  <si>
    <t>Ours</t>
    <phoneticPr fontId="2" type="noConversion"/>
  </si>
  <si>
    <t>Zhou</t>
    <phoneticPr fontId="2" type="noConversion"/>
  </si>
  <si>
    <t>ELF5</t>
  </si>
  <si>
    <t>ELF6</t>
  </si>
  <si>
    <t>ELF7</t>
  </si>
  <si>
    <t>ELF8</t>
  </si>
  <si>
    <t>ALF5</t>
    <phoneticPr fontId="2" type="noConversion"/>
  </si>
  <si>
    <t>ALF6</t>
  </si>
  <si>
    <t>ALF7</t>
  </si>
  <si>
    <t>ALF8</t>
  </si>
  <si>
    <t>Total Average</t>
    <phoneticPr fontId="2" type="noConversion"/>
  </si>
  <si>
    <t>layer5</t>
    <phoneticPr fontId="2" type="noConversion"/>
  </si>
  <si>
    <t>layer6</t>
  </si>
  <si>
    <t>layer7</t>
  </si>
  <si>
    <t>layer8</t>
  </si>
  <si>
    <t>150 Epoch</t>
    <phoneticPr fontId="2" type="noConversion"/>
  </si>
  <si>
    <t>100 Epoch</t>
    <phoneticPr fontId="2" type="noConversion"/>
  </si>
  <si>
    <t>50 Epoch</t>
    <phoneticPr fontId="2" type="noConversion"/>
  </si>
  <si>
    <t>Tsai (basedline)</t>
    <phoneticPr fontId="2" type="noConversion"/>
  </si>
  <si>
    <t>Tsai</t>
    <phoneticPr fontId="2" type="noConversion"/>
  </si>
  <si>
    <t>訓練時間 (s)</t>
    <phoneticPr fontId="2" type="noConversion"/>
  </si>
  <si>
    <t>muskmelon to pear</t>
    <phoneticPr fontId="2" type="noConversion"/>
  </si>
  <si>
    <t>training time/epoch</t>
    <phoneticPr fontId="2" type="noConversion"/>
  </si>
  <si>
    <t>total training time</t>
    <phoneticPr fontId="2" type="noConversion"/>
  </si>
  <si>
    <t xml:space="preserve">資料傳輸量 </t>
    <phoneticPr fontId="2" type="noConversion"/>
  </si>
  <si>
    <t>(byte)</t>
  </si>
  <si>
    <t>(MB)</t>
    <phoneticPr fontId="2" type="noConversion"/>
  </si>
  <si>
    <t>ELF5</t>
    <phoneticPr fontId="2" type="noConversion"/>
  </si>
  <si>
    <t>依照 layer 列表</t>
    <phoneticPr fontId="2" type="noConversion"/>
  </si>
  <si>
    <t>依照 epoch 列表</t>
    <phoneticPr fontId="2" type="noConversion"/>
  </si>
  <si>
    <t>total training time + local-learning</t>
    <phoneticPr fontId="2" type="noConversion"/>
  </si>
  <si>
    <t>layer 5</t>
    <phoneticPr fontId="2" type="noConversion"/>
  </si>
  <si>
    <t>layer 6</t>
  </si>
  <si>
    <t>layer 7</t>
  </si>
  <si>
    <t>layer 8</t>
  </si>
  <si>
    <t>local learning</t>
    <phoneticPr fontId="2" type="noConversion"/>
  </si>
  <si>
    <t>我的只有訓練一個epoch</t>
    <phoneticPr fontId="2" type="noConversion"/>
  </si>
  <si>
    <t>total time</t>
    <phoneticPr fontId="2" type="noConversion"/>
  </si>
  <si>
    <t>店內新增加目標攝影機所需時間</t>
    <phoneticPr fontId="2" type="noConversion"/>
  </si>
  <si>
    <t>layer 5</t>
  </si>
  <si>
    <t>layer 5</t>
    <phoneticPr fontId="2" type="noConversion"/>
  </si>
  <si>
    <t>1 (source)</t>
    <phoneticPr fontId="2" type="noConversion"/>
  </si>
  <si>
    <t>avg</t>
    <phoneticPr fontId="2" type="noConversion"/>
  </si>
  <si>
    <t>ours</t>
    <phoneticPr fontId="2" type="noConversion"/>
  </si>
  <si>
    <t>avg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</si>
</sst>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176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9" borderId="1" xfId="1" applyNumberFormat="1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>
      <alignment vertical="center"/>
    </xf>
    <xf numFmtId="176" fontId="3" fillId="0" borderId="1" xfId="0" applyNumberFormat="1" applyFont="1" applyBorder="1" applyAlignment="1">
      <alignment vertical="center"/>
    </xf>
    <xf numFmtId="176" fontId="3" fillId="11" borderId="1" xfId="0" applyNumberFormat="1" applyFont="1" applyFill="1" applyBorder="1" applyAlignment="1">
      <alignment horizontal="center" vertical="center"/>
    </xf>
    <xf numFmtId="176" fontId="3" fillId="11" borderId="1" xfId="0" applyNumberFormat="1" applyFont="1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176" fontId="3" fillId="1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9" borderId="1" xfId="1" applyNumberFormat="1" applyFont="1" applyFill="1" applyBorder="1" applyAlignment="1">
      <alignment horizontal="center" vertical="center"/>
    </xf>
    <xf numFmtId="176" fontId="5" fillId="9" borderId="1" xfId="0" applyNumberFormat="1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5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5" borderId="4" xfId="0" applyNumberFormat="1" applyFont="1" applyFill="1" applyBorder="1" applyAlignment="1">
      <alignment horizontal="center" vertical="center"/>
    </xf>
    <xf numFmtId="176" fontId="3" fillId="5" borderId="5" xfId="0" applyNumberFormat="1" applyFont="1" applyFill="1" applyBorder="1" applyAlignment="1">
      <alignment horizontal="center" vertical="center"/>
    </xf>
    <xf numFmtId="176" fontId="3" fillId="5" borderId="6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6" borderId="1" xfId="0" applyNumberFormat="1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176" fontId="3" fillId="6" borderId="7" xfId="0" applyNumberFormat="1" applyFont="1" applyFill="1" applyBorder="1" applyAlignment="1">
      <alignment horizontal="center" vertical="center"/>
    </xf>
    <xf numFmtId="176" fontId="3" fillId="6" borderId="9" xfId="0" applyNumberFormat="1" applyFont="1" applyFill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DC4C-838C-466A-B791-C826A26EB0CC}">
  <dimension ref="A1:BA86"/>
  <sheetViews>
    <sheetView tabSelected="1" topLeftCell="A49" zoomScale="70" zoomScaleNormal="70" workbookViewId="0">
      <pane xSplit="1" topLeftCell="B1" activePane="topRight" state="frozen"/>
      <selection pane="topRight" activeCell="G72" sqref="G72"/>
    </sheetView>
  </sheetViews>
  <sheetFormatPr defaultColWidth="8.875" defaultRowHeight="16.5" x14ac:dyDescent="0.25"/>
  <cols>
    <col min="1" max="1" width="20.75" style="20" customWidth="1"/>
    <col min="2" max="33" width="15.75" style="20" customWidth="1"/>
    <col min="34" max="16384" width="8.875" style="2"/>
  </cols>
  <sheetData>
    <row r="1" spans="1:53" x14ac:dyDescent="0.25">
      <c r="A1" s="15" t="s">
        <v>0</v>
      </c>
      <c r="B1" s="15" t="s">
        <v>48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20" customFormat="1" x14ac:dyDescent="0.25">
      <c r="A2" s="52" t="s">
        <v>1</v>
      </c>
      <c r="B2" s="52" t="s">
        <v>3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X2" s="16"/>
      <c r="Y2" s="16"/>
      <c r="AA2" s="16"/>
      <c r="AB2" s="16"/>
      <c r="AD2" s="16"/>
      <c r="AE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</row>
    <row r="3" spans="1:53" s="20" customFormat="1" x14ac:dyDescent="0.25">
      <c r="A3" s="52"/>
      <c r="B3" s="51" t="s">
        <v>2</v>
      </c>
      <c r="C3" s="53" t="s">
        <v>21</v>
      </c>
      <c r="D3" s="53"/>
      <c r="E3" s="53"/>
      <c r="F3" s="53"/>
      <c r="G3" s="67" t="s">
        <v>38</v>
      </c>
      <c r="H3" s="67"/>
      <c r="I3" s="67"/>
      <c r="J3" s="67"/>
      <c r="K3" s="61" t="s">
        <v>20</v>
      </c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X3" s="16"/>
      <c r="Y3" s="16"/>
      <c r="AA3" s="16"/>
      <c r="AB3" s="16"/>
      <c r="AD3" s="16"/>
      <c r="AE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</row>
    <row r="4" spans="1:53" s="20" customFormat="1" x14ac:dyDescent="0.25">
      <c r="A4" s="52"/>
      <c r="B4" s="51"/>
      <c r="C4" s="53" t="s">
        <v>22</v>
      </c>
      <c r="D4" s="53" t="s">
        <v>23</v>
      </c>
      <c r="E4" s="53" t="s">
        <v>24</v>
      </c>
      <c r="F4" s="53" t="s">
        <v>25</v>
      </c>
      <c r="G4" s="67" t="s">
        <v>26</v>
      </c>
      <c r="H4" s="67" t="s">
        <v>27</v>
      </c>
      <c r="I4" s="67" t="s">
        <v>28</v>
      </c>
      <c r="J4" s="67" t="s">
        <v>29</v>
      </c>
      <c r="K4" s="61" t="s">
        <v>31</v>
      </c>
      <c r="L4" s="61"/>
      <c r="M4" s="61"/>
      <c r="N4" s="61" t="s">
        <v>32</v>
      </c>
      <c r="O4" s="61"/>
      <c r="P4" s="61"/>
      <c r="Q4" s="61" t="s">
        <v>33</v>
      </c>
      <c r="R4" s="61"/>
      <c r="S4" s="61"/>
      <c r="T4" s="61" t="s">
        <v>34</v>
      </c>
      <c r="U4" s="61"/>
      <c r="V4" s="61"/>
      <c r="X4" s="16"/>
      <c r="Y4" s="16"/>
      <c r="AA4" s="16"/>
      <c r="AB4" s="16"/>
      <c r="AD4" s="16"/>
      <c r="AE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</row>
    <row r="5" spans="1:53" s="20" customFormat="1" x14ac:dyDescent="0.25">
      <c r="A5" s="52"/>
      <c r="B5" s="51"/>
      <c r="C5" s="53"/>
      <c r="D5" s="53"/>
      <c r="E5" s="53"/>
      <c r="F5" s="53"/>
      <c r="G5" s="67"/>
      <c r="H5" s="67"/>
      <c r="I5" s="67"/>
      <c r="J5" s="67"/>
      <c r="K5" s="19" t="s">
        <v>35</v>
      </c>
      <c r="L5" s="19" t="s">
        <v>36</v>
      </c>
      <c r="M5" s="19" t="s">
        <v>37</v>
      </c>
      <c r="N5" s="19" t="s">
        <v>35</v>
      </c>
      <c r="O5" s="19" t="s">
        <v>36</v>
      </c>
      <c r="P5" s="19" t="s">
        <v>37</v>
      </c>
      <c r="Q5" s="19" t="s">
        <v>35</v>
      </c>
      <c r="R5" s="19" t="s">
        <v>36</v>
      </c>
      <c r="S5" s="19" t="s">
        <v>37</v>
      </c>
      <c r="T5" s="19" t="s">
        <v>35</v>
      </c>
      <c r="U5" s="19" t="s">
        <v>36</v>
      </c>
      <c r="V5" s="19" t="s">
        <v>37</v>
      </c>
      <c r="X5" s="16"/>
      <c r="Y5" s="16"/>
      <c r="AA5" s="16"/>
      <c r="AB5" s="16"/>
      <c r="AD5" s="16"/>
      <c r="AE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pans="1:53" s="20" customFormat="1" x14ac:dyDescent="0.25">
      <c r="A6" s="16" t="s">
        <v>12</v>
      </c>
      <c r="B6" s="16" t="s">
        <v>13</v>
      </c>
      <c r="C6" s="16" t="s">
        <v>15</v>
      </c>
      <c r="D6" s="16" t="s">
        <v>17</v>
      </c>
      <c r="E6" s="16" t="s">
        <v>17</v>
      </c>
      <c r="F6" s="16" t="s">
        <v>19</v>
      </c>
      <c r="G6" s="16" t="s">
        <v>15</v>
      </c>
      <c r="H6" s="16" t="s">
        <v>17</v>
      </c>
      <c r="I6" s="16" t="s">
        <v>17</v>
      </c>
      <c r="J6" s="16" t="s">
        <v>19</v>
      </c>
      <c r="K6" s="52" t="s">
        <v>14</v>
      </c>
      <c r="L6" s="52"/>
      <c r="M6" s="52"/>
      <c r="N6" s="52" t="s">
        <v>16</v>
      </c>
      <c r="O6" s="52"/>
      <c r="P6" s="52"/>
      <c r="Q6" s="69" t="s">
        <v>16</v>
      </c>
      <c r="R6" s="69"/>
      <c r="S6" s="69"/>
      <c r="T6" s="52" t="s">
        <v>18</v>
      </c>
      <c r="U6" s="52"/>
      <c r="V6" s="52"/>
      <c r="X6" s="16"/>
      <c r="Y6" s="16"/>
      <c r="AA6" s="16"/>
      <c r="AB6" s="16"/>
      <c r="AD6" s="16"/>
      <c r="AE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pans="1:53" s="20" customFormat="1" x14ac:dyDescent="0.25">
      <c r="A7" s="16" t="s">
        <v>4</v>
      </c>
      <c r="B7" s="3">
        <v>68.600000000000009</v>
      </c>
      <c r="C7" s="4">
        <v>80.28</v>
      </c>
      <c r="D7" s="5">
        <v>80.28</v>
      </c>
      <c r="E7" s="5">
        <v>80.28</v>
      </c>
      <c r="F7" s="5">
        <v>80.28</v>
      </c>
      <c r="G7" s="6">
        <v>81.06</v>
      </c>
      <c r="H7" s="6">
        <v>78.81</v>
      </c>
      <c r="I7" s="6">
        <v>80.31</v>
      </c>
      <c r="J7" s="6">
        <v>69.290000000000006</v>
      </c>
      <c r="K7" s="7">
        <v>88.921868749999987</v>
      </c>
      <c r="L7" s="7">
        <v>87.661456249999986</v>
      </c>
      <c r="M7" s="7">
        <v>90.494793749999999</v>
      </c>
      <c r="N7" s="7">
        <v>93.088546874999992</v>
      </c>
      <c r="O7" s="7">
        <v>93.755215624999991</v>
      </c>
      <c r="P7" s="7">
        <v>92.666662500000001</v>
      </c>
      <c r="Q7" s="8">
        <v>92.572912500000001</v>
      </c>
      <c r="R7" s="7">
        <v>93.062496875000008</v>
      </c>
      <c r="S7" s="7">
        <v>91.468753125000006</v>
      </c>
      <c r="T7" s="7">
        <v>93.984378125000006</v>
      </c>
      <c r="U7" s="7">
        <v>94.052081250000001</v>
      </c>
      <c r="V7" s="7">
        <v>94.536459375000007</v>
      </c>
      <c r="X7" s="16"/>
      <c r="Y7" s="16"/>
      <c r="AA7" s="16"/>
      <c r="AB7" s="16"/>
      <c r="AD7" s="16"/>
      <c r="AE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1:53" s="37" customFormat="1" x14ac:dyDescent="0.25">
      <c r="A8" s="31"/>
      <c r="B8" s="32"/>
      <c r="C8" s="33"/>
      <c r="D8" s="34"/>
      <c r="E8" s="34"/>
      <c r="F8" s="34"/>
      <c r="G8" s="35"/>
      <c r="H8" s="35"/>
      <c r="I8" s="35"/>
      <c r="J8" s="35"/>
      <c r="K8" s="36">
        <f>(K7-81.06)/81.06*100</f>
        <v>9.6988264865531519</v>
      </c>
      <c r="L8" s="36">
        <f t="shared" ref="L8:M8" si="0">(L7-81.06)/81.06*100</f>
        <v>8.1439134591660292</v>
      </c>
      <c r="M8" s="36">
        <f t="shared" si="0"/>
        <v>11.639271835677272</v>
      </c>
      <c r="N8" s="36">
        <f>(N7-78.81)/78.81*100</f>
        <v>18.117684145413005</v>
      </c>
      <c r="O8" s="36">
        <f t="shared" ref="O8:P8" si="1">(O7-78.81)/78.81*100</f>
        <v>18.963603127775649</v>
      </c>
      <c r="P8" s="36">
        <f t="shared" si="1"/>
        <v>17.582365816520745</v>
      </c>
      <c r="Q8" s="36">
        <f>(Q7-80.31)/80.31*100</f>
        <v>15.269471423234963</v>
      </c>
      <c r="R8" s="36">
        <f t="shared" ref="R8:S8" si="2">(R7-80.31)/80.31*100</f>
        <v>15.879089621466822</v>
      </c>
      <c r="S8" s="36">
        <f t="shared" si="2"/>
        <v>13.894599831901386</v>
      </c>
      <c r="T8" s="36">
        <f>(T7-69.29)/69.29*100</f>
        <v>35.639166005195548</v>
      </c>
      <c r="U8" s="36">
        <f t="shared" ref="U8:V8" si="3">(U7-69.29)/69.29*100</f>
        <v>35.736875811805447</v>
      </c>
      <c r="V8" s="36">
        <f t="shared" si="3"/>
        <v>36.435935019483331</v>
      </c>
      <c r="X8" s="31"/>
      <c r="Y8" s="31"/>
      <c r="AA8" s="31"/>
      <c r="AB8" s="31"/>
      <c r="AD8" s="31"/>
      <c r="AE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</row>
    <row r="9" spans="1:53" s="20" customFormat="1" x14ac:dyDescent="0.25">
      <c r="A9" s="16" t="s">
        <v>5</v>
      </c>
      <c r="B9" s="3">
        <v>59.3</v>
      </c>
      <c r="C9" s="4">
        <v>58.04</v>
      </c>
      <c r="D9" s="5">
        <v>80.28</v>
      </c>
      <c r="E9" s="5">
        <v>58.04</v>
      </c>
      <c r="F9" s="5">
        <v>58.04</v>
      </c>
      <c r="G9" s="6">
        <v>65.63</v>
      </c>
      <c r="H9" s="6">
        <v>66.36</v>
      </c>
      <c r="I9" s="6">
        <v>59.52</v>
      </c>
      <c r="J9" s="6">
        <v>62.14</v>
      </c>
      <c r="K9" s="7">
        <v>80.463543750000014</v>
      </c>
      <c r="L9" s="7">
        <v>81.510415625000007</v>
      </c>
      <c r="M9" s="7">
        <v>82.083331250000001</v>
      </c>
      <c r="N9" s="7">
        <v>89.156256249999998</v>
      </c>
      <c r="O9" s="7">
        <v>90.229165625000007</v>
      </c>
      <c r="P9" s="7">
        <v>90.411465624999977</v>
      </c>
      <c r="Q9" s="8">
        <v>89.380209375000007</v>
      </c>
      <c r="R9" s="7">
        <v>88.625015625000003</v>
      </c>
      <c r="S9" s="7">
        <v>87.895834374999993</v>
      </c>
      <c r="T9" s="7">
        <v>92.973959375000021</v>
      </c>
      <c r="U9" s="7">
        <v>93.656259375000005</v>
      </c>
      <c r="V9" s="7">
        <v>93.697912500000001</v>
      </c>
      <c r="W9" s="16"/>
      <c r="X9" s="16"/>
      <c r="Y9" s="16"/>
      <c r="AA9" s="16"/>
      <c r="AB9" s="16"/>
      <c r="AD9" s="16"/>
      <c r="AE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3" s="37" customFormat="1" x14ac:dyDescent="0.25">
      <c r="A10" s="31"/>
      <c r="B10" s="32"/>
      <c r="C10" s="33"/>
      <c r="D10" s="34"/>
      <c r="E10" s="34"/>
      <c r="F10" s="34"/>
      <c r="G10" s="35"/>
      <c r="H10" s="35"/>
      <c r="I10" s="35"/>
      <c r="J10" s="35"/>
      <c r="K10" s="36">
        <f>(K9-65.63)/65.63*100</f>
        <v>22.601773198232543</v>
      </c>
      <c r="L10" s="36">
        <f t="shared" ref="L10:M10" si="4">(L9-65.63)/65.63*100</f>
        <v>24.196884999238172</v>
      </c>
      <c r="M10" s="36">
        <f t="shared" si="4"/>
        <v>25.06983277464575</v>
      </c>
      <c r="N10" s="36">
        <f>(N9-66.36)/66.36*100</f>
        <v>34.352405440024107</v>
      </c>
      <c r="O10" s="36">
        <f t="shared" ref="O10:P10" si="5">(O9-66.36)/66.36*100</f>
        <v>35.969206788728165</v>
      </c>
      <c r="P10" s="36">
        <f t="shared" si="5"/>
        <v>36.243920471669647</v>
      </c>
      <c r="Q10" s="36">
        <f>(Q9-59.52)/59.52*100</f>
        <v>50.168362525201616</v>
      </c>
      <c r="R10" s="36">
        <f t="shared" ref="R10:S10" si="6">(R9-59.52)/59.52*100</f>
        <v>48.899555821572577</v>
      </c>
      <c r="S10" s="36">
        <f t="shared" si="6"/>
        <v>47.674452914986539</v>
      </c>
      <c r="T10" s="36">
        <f>(T9-62.14)/62.14*100</f>
        <v>49.620147046990695</v>
      </c>
      <c r="U10" s="36">
        <f t="shared" ref="U10:V10" si="7">(U9-62.14)/62.14*100</f>
        <v>50.718151552944967</v>
      </c>
      <c r="V10" s="36">
        <f t="shared" si="7"/>
        <v>50.785182652075953</v>
      </c>
      <c r="X10" s="31"/>
      <c r="Y10" s="31"/>
      <c r="AA10" s="31"/>
      <c r="AB10" s="31"/>
      <c r="AD10" s="31"/>
      <c r="AE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</row>
    <row r="11" spans="1:53" s="20" customFormat="1" x14ac:dyDescent="0.25">
      <c r="A11" s="16" t="s">
        <v>6</v>
      </c>
      <c r="B11" s="3">
        <v>55.92</v>
      </c>
      <c r="C11" s="4">
        <v>56.94</v>
      </c>
      <c r="D11" s="5">
        <v>56.94</v>
      </c>
      <c r="E11" s="5">
        <v>56.94</v>
      </c>
      <c r="F11" s="5">
        <v>56.94</v>
      </c>
      <c r="G11" s="6">
        <v>62.72</v>
      </c>
      <c r="H11" s="6">
        <v>60.57</v>
      </c>
      <c r="I11" s="6">
        <v>59.67</v>
      </c>
      <c r="J11" s="6">
        <v>55.44</v>
      </c>
      <c r="K11" s="7">
        <v>86.302081250000015</v>
      </c>
      <c r="L11" s="7">
        <v>88.854162499999987</v>
      </c>
      <c r="M11" s="7">
        <v>89.104171874999992</v>
      </c>
      <c r="N11" s="7">
        <v>87.901046874999992</v>
      </c>
      <c r="O11" s="7">
        <v>86.666671875000006</v>
      </c>
      <c r="P11" s="7">
        <v>88.744796875000006</v>
      </c>
      <c r="Q11" s="8">
        <v>89.916668749999999</v>
      </c>
      <c r="R11" s="7">
        <v>91.666671874999992</v>
      </c>
      <c r="S11" s="7">
        <v>90.604168749999999</v>
      </c>
      <c r="T11" s="7">
        <v>91.682287500000001</v>
      </c>
      <c r="U11" s="7">
        <v>91.958331249999986</v>
      </c>
      <c r="V11" s="7">
        <v>92.421871874999994</v>
      </c>
      <c r="X11" s="16"/>
      <c r="Y11" s="16"/>
      <c r="AA11" s="16"/>
      <c r="AB11" s="16"/>
      <c r="AD11" s="16"/>
      <c r="AE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1:53" s="37" customFormat="1" x14ac:dyDescent="0.25">
      <c r="A12" s="31"/>
      <c r="B12" s="32"/>
      <c r="C12" s="33"/>
      <c r="D12" s="34"/>
      <c r="E12" s="34"/>
      <c r="F12" s="34"/>
      <c r="G12" s="35"/>
      <c r="H12" s="35"/>
      <c r="I12" s="35"/>
      <c r="J12" s="35"/>
      <c r="K12" s="36">
        <f>(K11-62.72)/62.72*100</f>
        <v>37.598981584821459</v>
      </c>
      <c r="L12" s="36">
        <f t="shared" ref="L12:M12" si="8">(L11-62.72)/62.72*100</f>
        <v>41.667988679846921</v>
      </c>
      <c r="M12" s="36">
        <f t="shared" si="8"/>
        <v>42.066600566007644</v>
      </c>
      <c r="N12" s="36">
        <f>(N11-60.57)/60.57*100</f>
        <v>45.123075573716349</v>
      </c>
      <c r="O12" s="36">
        <f t="shared" ref="O12:P12" si="9">(O11-60.57)/60.57*100</f>
        <v>43.085144254581486</v>
      </c>
      <c r="P12" s="36">
        <f t="shared" si="9"/>
        <v>46.516091918441482</v>
      </c>
      <c r="Q12" s="36">
        <f>(Q11-59.67)/59.67*100</f>
        <v>50.689909083291425</v>
      </c>
      <c r="R12" s="36">
        <f t="shared" ref="R12:S12" si="10">(R11-59.67)/59.67*100</f>
        <v>53.62271137087312</v>
      </c>
      <c r="S12" s="36">
        <f t="shared" si="10"/>
        <v>51.842079353108758</v>
      </c>
      <c r="T12" s="36">
        <f>(T11-55.44)/55.44*100</f>
        <v>65.372091450216459</v>
      </c>
      <c r="U12" s="36">
        <f t="shared" ref="U12:V12" si="11">(U11-55.44)/55.44*100</f>
        <v>65.870005862193352</v>
      </c>
      <c r="V12" s="36">
        <f t="shared" si="11"/>
        <v>66.706118100649348</v>
      </c>
      <c r="X12" s="31"/>
      <c r="Y12" s="31"/>
      <c r="AA12" s="31"/>
      <c r="AB12" s="31"/>
      <c r="AD12" s="31"/>
      <c r="AE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</row>
    <row r="13" spans="1:53" s="20" customFormat="1" x14ac:dyDescent="0.25">
      <c r="A13" s="16" t="s">
        <v>7</v>
      </c>
      <c r="B13" s="3">
        <v>64.61</v>
      </c>
      <c r="C13" s="4">
        <v>65.48</v>
      </c>
      <c r="D13" s="5">
        <v>65.48</v>
      </c>
      <c r="E13" s="5">
        <v>65.48</v>
      </c>
      <c r="F13" s="5">
        <v>65.48</v>
      </c>
      <c r="G13" s="6">
        <v>73.239999999999995</v>
      </c>
      <c r="H13" s="6">
        <v>70.27</v>
      </c>
      <c r="I13" s="6">
        <v>70.5</v>
      </c>
      <c r="J13" s="6">
        <v>65.05</v>
      </c>
      <c r="K13" s="7">
        <v>84.135415625000007</v>
      </c>
      <c r="L13" s="7">
        <v>84.499996874999994</v>
      </c>
      <c r="M13" s="7">
        <v>82.307293749999999</v>
      </c>
      <c r="N13" s="7">
        <v>87.348959374999993</v>
      </c>
      <c r="O13" s="7">
        <v>83.364584374999993</v>
      </c>
      <c r="P13" s="7">
        <v>84.78125</v>
      </c>
      <c r="Q13" s="8">
        <v>93.187503125000006</v>
      </c>
      <c r="R13" s="7">
        <v>93.208337499999999</v>
      </c>
      <c r="S13" s="7">
        <v>93.656246874999994</v>
      </c>
      <c r="T13" s="7">
        <v>95.223956250000001</v>
      </c>
      <c r="U13" s="7">
        <v>94.640625</v>
      </c>
      <c r="V13" s="7">
        <v>95.026040624999993</v>
      </c>
      <c r="X13" s="16"/>
      <c r="Y13" s="16"/>
      <c r="AA13" s="16"/>
      <c r="AB13" s="16"/>
      <c r="AD13" s="16"/>
      <c r="AE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53" s="37" customFormat="1" x14ac:dyDescent="0.25">
      <c r="A14" s="31"/>
      <c r="B14" s="32"/>
      <c r="C14" s="33"/>
      <c r="D14" s="34"/>
      <c r="E14" s="34"/>
      <c r="F14" s="34"/>
      <c r="G14" s="35"/>
      <c r="H14" s="35"/>
      <c r="I14" s="35"/>
      <c r="J14" s="35"/>
      <c r="K14" s="36">
        <f>(K13-73.24)/73.27*100</f>
        <v>14.870227412310649</v>
      </c>
      <c r="L14" s="36">
        <f t="shared" ref="L14:M14" si="12">(L13-73.24)/73.27*100</f>
        <v>15.367813395659887</v>
      </c>
      <c r="M14" s="36">
        <f t="shared" si="12"/>
        <v>12.375179131977623</v>
      </c>
      <c r="N14" s="36">
        <f>(N13-70.27)/70.27*100</f>
        <v>24.304766436601678</v>
      </c>
      <c r="O14" s="36">
        <f t="shared" ref="O14:P14" si="13">(O13-70.27)/70.27*100</f>
        <v>18.634672513163508</v>
      </c>
      <c r="P14" s="36">
        <f t="shared" si="13"/>
        <v>20.650704425786259</v>
      </c>
      <c r="Q14" s="36">
        <f>(Q13-70.5)/70.5*100</f>
        <v>32.180855496453908</v>
      </c>
      <c r="R14" s="36">
        <f t="shared" ref="R14:S14" si="14">(R13-70.5)/70.5*100</f>
        <v>32.210407801418441</v>
      </c>
      <c r="S14" s="36">
        <f t="shared" si="14"/>
        <v>32.845740248226939</v>
      </c>
      <c r="T14" s="36">
        <f>(T13-65.05)/65.05*100</f>
        <v>46.385789777094551</v>
      </c>
      <c r="U14" s="36">
        <f t="shared" ref="U14:V14" si="15">(U13-65.05)/65.05*100</f>
        <v>45.489046887009998</v>
      </c>
      <c r="V14" s="36">
        <f t="shared" si="15"/>
        <v>46.081538239815522</v>
      </c>
      <c r="X14" s="31"/>
      <c r="Y14" s="31"/>
      <c r="AA14" s="31"/>
      <c r="AB14" s="31"/>
      <c r="AD14" s="31"/>
      <c r="AE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</row>
    <row r="15" spans="1:53" s="20" customFormat="1" x14ac:dyDescent="0.25">
      <c r="A15" s="16" t="s">
        <v>8</v>
      </c>
      <c r="B15" s="3">
        <v>58.099999999999994</v>
      </c>
      <c r="C15" s="4">
        <v>57.89</v>
      </c>
      <c r="D15" s="5">
        <v>57.89</v>
      </c>
      <c r="E15" s="5">
        <v>57.89</v>
      </c>
      <c r="F15" s="5">
        <v>57.89</v>
      </c>
      <c r="G15" s="6">
        <v>76.78</v>
      </c>
      <c r="H15" s="6">
        <v>73.31</v>
      </c>
      <c r="I15" s="6">
        <v>71.569999999999993</v>
      </c>
      <c r="J15" s="6">
        <v>70.349999999999994</v>
      </c>
      <c r="K15" s="7">
        <v>83.479165625000007</v>
      </c>
      <c r="L15" s="7">
        <v>84.697912500000015</v>
      </c>
      <c r="M15" s="7">
        <v>85.046878125000006</v>
      </c>
      <c r="N15" s="7">
        <v>87.067709374999993</v>
      </c>
      <c r="O15" s="7">
        <v>92.604171874999992</v>
      </c>
      <c r="P15" s="7">
        <v>91.869787500000001</v>
      </c>
      <c r="Q15" s="8">
        <v>87.510421874999992</v>
      </c>
      <c r="R15" s="7">
        <v>90.317703125000008</v>
      </c>
      <c r="S15" s="7">
        <v>88.854165625000007</v>
      </c>
      <c r="T15" s="7">
        <v>89.484378124999992</v>
      </c>
      <c r="U15" s="7">
        <v>90.270828125000008</v>
      </c>
      <c r="V15" s="7">
        <v>89.630212499999999</v>
      </c>
      <c r="X15" s="16"/>
      <c r="Y15" s="16"/>
      <c r="AA15" s="16"/>
      <c r="AB15" s="16"/>
      <c r="AD15" s="16"/>
      <c r="AE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:53" s="37" customFormat="1" x14ac:dyDescent="0.25">
      <c r="A16" s="31"/>
      <c r="B16" s="32"/>
      <c r="C16" s="33"/>
      <c r="D16" s="34"/>
      <c r="E16" s="34"/>
      <c r="F16" s="34"/>
      <c r="G16" s="35"/>
      <c r="H16" s="35"/>
      <c r="I16" s="35"/>
      <c r="J16" s="35"/>
      <c r="K16" s="36">
        <f>(K15-76.78)/76.78*100</f>
        <v>8.7251440804897182</v>
      </c>
      <c r="L16" s="36">
        <f t="shared" ref="L16:M16" si="16">(L15-76.78)/76.78*100</f>
        <v>10.312467439437372</v>
      </c>
      <c r="M16" s="36">
        <f t="shared" si="16"/>
        <v>10.766968123209175</v>
      </c>
      <c r="N16" s="36">
        <f>(N15-73.31)/73.31*100</f>
        <v>18.76648393807119</v>
      </c>
      <c r="O16" s="36">
        <f t="shared" ref="O16:P16" si="17">(O15-73.31)/73.31*100</f>
        <v>26.318608477697435</v>
      </c>
      <c r="P16" s="36">
        <f t="shared" si="17"/>
        <v>25.316856499795389</v>
      </c>
      <c r="Q16" s="36">
        <f>(Q15-71.57)/71.57*100</f>
        <v>22.272491092636578</v>
      </c>
      <c r="R16" s="36">
        <f t="shared" ref="R16:S16" si="18">(R15-71.57)/71.57*100</f>
        <v>26.194918436495762</v>
      </c>
      <c r="S16" s="36">
        <f t="shared" si="18"/>
        <v>24.150014845605721</v>
      </c>
      <c r="T16" s="36">
        <f>(T15-70.5)/70.35*100</f>
        <v>26.98561211798151</v>
      </c>
      <c r="U16" s="36">
        <f t="shared" ref="U16:V16" si="19">(U15-70.5)/70.35*100</f>
        <v>28.103522565742729</v>
      </c>
      <c r="V16" s="36">
        <f t="shared" si="19"/>
        <v>27.192910447761193</v>
      </c>
      <c r="X16" s="31"/>
      <c r="Y16" s="31"/>
      <c r="AA16" s="31"/>
      <c r="AB16" s="31"/>
      <c r="AD16" s="31"/>
      <c r="AE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</row>
    <row r="17" spans="1:53" s="20" customFormat="1" x14ac:dyDescent="0.25">
      <c r="A17" s="16" t="s">
        <v>9</v>
      </c>
      <c r="B17" s="3">
        <v>57.48</v>
      </c>
      <c r="C17" s="4">
        <v>58.8</v>
      </c>
      <c r="D17" s="5">
        <v>58.8</v>
      </c>
      <c r="E17" s="5">
        <v>58.8</v>
      </c>
      <c r="F17" s="5">
        <v>58.8</v>
      </c>
      <c r="G17" s="6">
        <v>64.569999999999993</v>
      </c>
      <c r="H17" s="6">
        <v>60.26</v>
      </c>
      <c r="I17" s="6">
        <v>63.14</v>
      </c>
      <c r="J17" s="6">
        <v>62.07</v>
      </c>
      <c r="K17" s="7">
        <v>90.270840625000005</v>
      </c>
      <c r="L17" s="7">
        <v>87.093749999999986</v>
      </c>
      <c r="M17" s="7">
        <v>89.682296874999992</v>
      </c>
      <c r="N17" s="7">
        <v>86.786462499999999</v>
      </c>
      <c r="O17" s="7">
        <v>89.427090625000005</v>
      </c>
      <c r="P17" s="7">
        <v>88.661456250000015</v>
      </c>
      <c r="Q17" s="8">
        <v>90.609371874999994</v>
      </c>
      <c r="R17" s="7">
        <v>92.265625</v>
      </c>
      <c r="S17" s="7">
        <v>92.171875</v>
      </c>
      <c r="T17" s="7">
        <v>88.942703125000008</v>
      </c>
      <c r="U17" s="7">
        <v>88.020828124999994</v>
      </c>
      <c r="V17" s="7">
        <v>89.203124999999986</v>
      </c>
      <c r="X17" s="16"/>
      <c r="Y17" s="16"/>
      <c r="AA17" s="16"/>
      <c r="AB17" s="16"/>
      <c r="AD17" s="16"/>
      <c r="AE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 s="37" customFormat="1" x14ac:dyDescent="0.25">
      <c r="A18" s="31"/>
      <c r="B18" s="32"/>
      <c r="C18" s="33"/>
      <c r="D18" s="34"/>
      <c r="E18" s="34"/>
      <c r="F18" s="34"/>
      <c r="G18" s="35"/>
      <c r="H18" s="35"/>
      <c r="I18" s="35"/>
      <c r="J18" s="35"/>
      <c r="K18" s="36">
        <f>(K17-64.57)/64.57*100</f>
        <v>39.803067407464788</v>
      </c>
      <c r="L18" s="36">
        <f t="shared" ref="L18:M18" si="20">(L17-64.57)/64.57*100</f>
        <v>34.882685457642857</v>
      </c>
      <c r="M18" s="36">
        <f t="shared" si="20"/>
        <v>38.89158568220536</v>
      </c>
      <c r="N18" s="36">
        <f>(N17-60.26)/60.26*100</f>
        <v>44.020017424493865</v>
      </c>
      <c r="O18" s="36">
        <f t="shared" ref="O18:P18" si="21">(O17-60.26)/60.26*100</f>
        <v>48.402075381679403</v>
      </c>
      <c r="P18" s="36">
        <f t="shared" si="21"/>
        <v>47.131523813474971</v>
      </c>
      <c r="Q18" s="36">
        <f>(Q17-63.14)/63.14*100</f>
        <v>43.505498693379778</v>
      </c>
      <c r="R18" s="36">
        <f t="shared" ref="R18:S18" si="22">(R17-63.14)/63.14*100</f>
        <v>46.128642698764651</v>
      </c>
      <c r="S18" s="36">
        <f t="shared" si="22"/>
        <v>45.980163129553368</v>
      </c>
      <c r="T18" s="36">
        <f>(T17-62.07)/62.07*100</f>
        <v>43.294189020460784</v>
      </c>
      <c r="U18" s="36">
        <f t="shared" ref="U18:V18" si="23">(U17-62.07)/62.07*100</f>
        <v>41.80897071854357</v>
      </c>
      <c r="V18" s="36">
        <f t="shared" si="23"/>
        <v>43.713750604156573</v>
      </c>
      <c r="X18" s="31"/>
      <c r="Y18" s="31"/>
      <c r="AA18" s="31"/>
      <c r="AB18" s="31"/>
      <c r="AD18" s="31"/>
      <c r="AE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</row>
    <row r="19" spans="1:53" s="20" customFormat="1" x14ac:dyDescent="0.25">
      <c r="A19" s="16" t="s">
        <v>10</v>
      </c>
      <c r="B19" s="3">
        <v>66.59</v>
      </c>
      <c r="C19" s="4">
        <v>66.959999999999994</v>
      </c>
      <c r="D19" s="5">
        <v>66.959999999999994</v>
      </c>
      <c r="E19" s="5">
        <v>66.959999999999994</v>
      </c>
      <c r="F19" s="5">
        <v>66.959999999999994</v>
      </c>
      <c r="G19" s="6">
        <v>74.14</v>
      </c>
      <c r="H19" s="6">
        <v>73.77</v>
      </c>
      <c r="I19" s="6">
        <v>71.09</v>
      </c>
      <c r="J19" s="6">
        <v>69.069999999999993</v>
      </c>
      <c r="K19" s="7">
        <v>90.380206249999986</v>
      </c>
      <c r="L19" s="7">
        <v>86.552078125000008</v>
      </c>
      <c r="M19" s="7">
        <v>83.557290625000007</v>
      </c>
      <c r="N19" s="7">
        <v>94.708331250000001</v>
      </c>
      <c r="O19" s="7">
        <v>92.343743750000002</v>
      </c>
      <c r="P19" s="7">
        <v>92.338546874999992</v>
      </c>
      <c r="Q19" s="8">
        <v>91.8125</v>
      </c>
      <c r="R19" s="7">
        <v>90.109371874999994</v>
      </c>
      <c r="S19" s="7">
        <v>90.151040624999993</v>
      </c>
      <c r="T19" s="7">
        <v>90.515631249999998</v>
      </c>
      <c r="U19" s="7">
        <v>91.156246874999994</v>
      </c>
      <c r="V19" s="7">
        <v>90.968740625000009</v>
      </c>
      <c r="X19" s="16"/>
      <c r="Y19" s="16"/>
      <c r="AA19" s="16"/>
      <c r="AB19" s="16"/>
      <c r="AD19" s="16"/>
      <c r="AE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 s="37" customFormat="1" x14ac:dyDescent="0.25">
      <c r="A20" s="31"/>
      <c r="B20" s="32"/>
      <c r="C20" s="33"/>
      <c r="D20" s="34"/>
      <c r="E20" s="34"/>
      <c r="F20" s="34"/>
      <c r="G20" s="35"/>
      <c r="H20" s="35"/>
      <c r="I20" s="35"/>
      <c r="J20" s="35"/>
      <c r="K20" s="36">
        <f>(K19-74.14)/74.14*100</f>
        <v>21.904783180469362</v>
      </c>
      <c r="L20" s="36">
        <f t="shared" ref="L20:M20" si="24">(L19-74.14)/74.14*100</f>
        <v>16.741405617750214</v>
      </c>
      <c r="M20" s="36">
        <f t="shared" si="24"/>
        <v>12.702037530347997</v>
      </c>
      <c r="N20" s="36">
        <f>(N19-73.77)/73.77*100</f>
        <v>28.383260471736488</v>
      </c>
      <c r="O20" s="36">
        <f t="shared" ref="O20:P20" si="25">(O19-73.77)/73.77*100</f>
        <v>25.177909380506989</v>
      </c>
      <c r="P20" s="36">
        <f t="shared" si="25"/>
        <v>25.170864680764531</v>
      </c>
      <c r="Q20" s="36">
        <f>(Q19-71.09)/71.09*100</f>
        <v>29.149669433112951</v>
      </c>
      <c r="R20" s="36">
        <f t="shared" ref="R20:S20" si="26">(R19-71.09)/71.09*100</f>
        <v>26.753934273456164</v>
      </c>
      <c r="S20" s="36">
        <f t="shared" si="26"/>
        <v>26.812548354198888</v>
      </c>
      <c r="T20" s="36">
        <f>(T19-69.07)/69.07*100</f>
        <v>31.049125886781535</v>
      </c>
      <c r="U20" s="36">
        <f t="shared" ref="U20:V20" si="27">(U19-69.07)/69.07*100</f>
        <v>31.976613399449839</v>
      </c>
      <c r="V20" s="36">
        <f t="shared" si="27"/>
        <v>31.705140618213434</v>
      </c>
      <c r="X20" s="31"/>
      <c r="Y20" s="31"/>
      <c r="AA20" s="31"/>
      <c r="AB20" s="31"/>
      <c r="AD20" s="31"/>
      <c r="AE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</row>
    <row r="21" spans="1:53" s="20" customFormat="1" x14ac:dyDescent="0.25">
      <c r="A21" s="16" t="s">
        <v>11</v>
      </c>
      <c r="B21" s="3">
        <v>56.8</v>
      </c>
      <c r="C21" s="4">
        <v>59.79</v>
      </c>
      <c r="D21" s="5">
        <v>59.79</v>
      </c>
      <c r="E21" s="5">
        <v>59.79</v>
      </c>
      <c r="F21" s="5">
        <v>59.79</v>
      </c>
      <c r="G21" s="6">
        <v>56.42</v>
      </c>
      <c r="H21" s="6">
        <v>58.32</v>
      </c>
      <c r="I21" s="6">
        <v>57.97</v>
      </c>
      <c r="J21" s="6">
        <v>53.39</v>
      </c>
      <c r="K21" s="7">
        <v>80.234371874999994</v>
      </c>
      <c r="L21" s="7">
        <v>85.385418749999999</v>
      </c>
      <c r="M21" s="7">
        <v>81.057296874999992</v>
      </c>
      <c r="N21" s="7">
        <v>85.796875</v>
      </c>
      <c r="O21" s="7">
        <v>88.875006249999998</v>
      </c>
      <c r="P21" s="7">
        <v>87.322918749999985</v>
      </c>
      <c r="Q21" s="8">
        <v>91.302087499999999</v>
      </c>
      <c r="R21" s="7">
        <v>87.854168749999999</v>
      </c>
      <c r="S21" s="7">
        <v>90.875003124999978</v>
      </c>
      <c r="T21" s="7">
        <v>93.072912500000001</v>
      </c>
      <c r="U21" s="7">
        <v>93.619796874999992</v>
      </c>
      <c r="V21" s="7">
        <v>94.041671874999992</v>
      </c>
      <c r="X21" s="16"/>
      <c r="Y21" s="16"/>
      <c r="AA21" s="16"/>
      <c r="AB21" s="16"/>
      <c r="AD21" s="16"/>
      <c r="AE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s="37" customFormat="1" x14ac:dyDescent="0.25">
      <c r="A22" s="31"/>
      <c r="B22" s="32"/>
      <c r="C22" s="33"/>
      <c r="D22" s="34"/>
      <c r="E22" s="34"/>
      <c r="F22" s="34"/>
      <c r="G22" s="35"/>
      <c r="H22" s="35"/>
      <c r="I22" s="35"/>
      <c r="J22" s="35"/>
      <c r="K22" s="36">
        <f>(K21-56.42)/56.42*100</f>
        <v>42.209095843672436</v>
      </c>
      <c r="L22" s="36">
        <f t="shared" ref="L22:M22" si="28">(L21-56.42)/56.42*100</f>
        <v>51.338920152428216</v>
      </c>
      <c r="M22" s="36">
        <f t="shared" si="28"/>
        <v>43.667665499822739</v>
      </c>
      <c r="N22" s="36">
        <f>(N21-58.32)/58.32*100</f>
        <v>47.113983196159118</v>
      </c>
      <c r="O22" s="36">
        <f t="shared" ref="O22:P22" si="29">(O21-58.32)/58.32*100</f>
        <v>52.391986025377221</v>
      </c>
      <c r="P22" s="36">
        <f t="shared" si="29"/>
        <v>49.730656292866918</v>
      </c>
      <c r="Q22" s="36">
        <f>(Q21-57.97)/57.97*100</f>
        <v>57.498857167500425</v>
      </c>
      <c r="R22" s="36">
        <f t="shared" ref="R22:S22" si="30">(R21-57.97)/57.97*100</f>
        <v>51.551093237881659</v>
      </c>
      <c r="S22" s="36">
        <f t="shared" si="30"/>
        <v>56.762123727790204</v>
      </c>
      <c r="T22" s="36">
        <f>(T21-53.39)/53.39*100</f>
        <v>74.326489042891936</v>
      </c>
      <c r="U22" s="36">
        <f t="shared" ref="U22:V22" si="31">(U21-53.39)/53.39*100</f>
        <v>75.350808906162186</v>
      </c>
      <c r="V22" s="36">
        <f t="shared" si="31"/>
        <v>76.140984969095314</v>
      </c>
      <c r="X22" s="31"/>
      <c r="Y22" s="31"/>
      <c r="AA22" s="31"/>
      <c r="AB22" s="31"/>
      <c r="AD22" s="31"/>
      <c r="AE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</row>
    <row r="23" spans="1:53" s="20" customFormat="1" x14ac:dyDescent="0.25">
      <c r="A23" s="16" t="s">
        <v>30</v>
      </c>
      <c r="B23" s="3">
        <v>60.924999999999997</v>
      </c>
      <c r="C23" s="5">
        <f t="shared" ref="C23" si="32">AVERAGE(C7:C21)</f>
        <v>63.022500000000001</v>
      </c>
      <c r="D23" s="5">
        <f t="shared" ref="D23:J23" si="33">AVERAGE(D7:D21)</f>
        <v>65.802499999999995</v>
      </c>
      <c r="E23" s="5">
        <f t="shared" si="33"/>
        <v>63.022500000000001</v>
      </c>
      <c r="F23" s="5">
        <f t="shared" si="33"/>
        <v>63.022500000000001</v>
      </c>
      <c r="G23" s="6">
        <f t="shared" si="33"/>
        <v>69.319999999999993</v>
      </c>
      <c r="H23" s="6">
        <f t="shared" si="33"/>
        <v>67.708749999999995</v>
      </c>
      <c r="I23" s="6">
        <f t="shared" si="33"/>
        <v>66.721249999999998</v>
      </c>
      <c r="J23" s="6">
        <f t="shared" si="33"/>
        <v>63.349999999999994</v>
      </c>
      <c r="K23" s="7">
        <f>AVERAGE(K7,K9,K11,K13,K15,K17,K19,K21)</f>
        <v>85.523436718749991</v>
      </c>
      <c r="L23" s="7">
        <f t="shared" ref="L23:U23" si="34">AVERAGE(L7,L9,L11,L13,L15,L17,L19,L21)</f>
        <v>85.781898828124994</v>
      </c>
      <c r="M23" s="7">
        <f t="shared" si="34"/>
        <v>85.416669140625004</v>
      </c>
      <c r="N23" s="7">
        <f t="shared" si="34"/>
        <v>88.981773437499996</v>
      </c>
      <c r="O23" s="7">
        <f t="shared" si="34"/>
        <v>89.658206250000006</v>
      </c>
      <c r="P23" s="7">
        <f t="shared" si="34"/>
        <v>89.599610546874999</v>
      </c>
      <c r="Q23" s="7">
        <f t="shared" si="34"/>
        <v>90.786459374999993</v>
      </c>
      <c r="R23" s="7">
        <f t="shared" si="34"/>
        <v>90.888673828124993</v>
      </c>
      <c r="S23" s="7">
        <f t="shared" si="34"/>
        <v>90.709635937499996</v>
      </c>
      <c r="T23" s="7">
        <f t="shared" si="34"/>
        <v>91.985025781250002</v>
      </c>
      <c r="U23" s="7">
        <f t="shared" si="34"/>
        <v>92.171874609374996</v>
      </c>
      <c r="V23" s="7">
        <f>AVERAGE(V7,V9,V11,V13,V15,V17,V19,V21)</f>
        <v>92.440754296875014</v>
      </c>
      <c r="X23" s="16"/>
      <c r="Y23" s="16"/>
      <c r="AA23" s="16"/>
      <c r="AB23" s="16"/>
      <c r="AD23" s="16"/>
      <c r="AE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1:53" s="39" customFormat="1" x14ac:dyDescent="0.25">
      <c r="A24" s="37"/>
      <c r="B24" s="37"/>
      <c r="C24" s="38"/>
      <c r="D24" s="38"/>
      <c r="E24" s="38"/>
      <c r="F24" s="38"/>
      <c r="G24" s="37"/>
      <c r="H24" s="37"/>
      <c r="I24" s="37"/>
      <c r="J24" s="37"/>
      <c r="K24" s="37">
        <f>(K23-69.32)/69.32*100</f>
        <v>23.374836582155222</v>
      </c>
      <c r="L24" s="37">
        <f t="shared" ref="L24:M24" si="35">(L23-69.32)/69.32*100</f>
        <v>23.74769017329054</v>
      </c>
      <c r="M24" s="37">
        <f t="shared" si="35"/>
        <v>23.220815263452124</v>
      </c>
      <c r="N24" s="37">
        <f>(N23-67.71)/67.71*100</f>
        <v>31.415999760005914</v>
      </c>
      <c r="O24" s="37">
        <f t="shared" ref="O24:P24" si="36">(O23-67.71)/67.71*100</f>
        <v>32.415014399645571</v>
      </c>
      <c r="P24" s="37">
        <f t="shared" si="36"/>
        <v>32.3284751836878</v>
      </c>
      <c r="Q24" s="37">
        <f>(Q23-66.72)/66.72*100</f>
        <v>36.070832396582723</v>
      </c>
      <c r="R24" s="37">
        <f t="shared" ref="R24:S24" si="37">(R23-66.72)/66.72*100</f>
        <v>36.224031516973916</v>
      </c>
      <c r="S24" s="37">
        <f t="shared" si="37"/>
        <v>35.955689354766186</v>
      </c>
      <c r="T24" s="37">
        <f>(T23-63.35)/63.35*100</f>
        <v>45.201303522099444</v>
      </c>
      <c r="U24" s="37">
        <f t="shared" ref="U24:V24" si="38">(U23-63.35)/63.35*100</f>
        <v>45.496250369968422</v>
      </c>
      <c r="V24" s="37">
        <f t="shared" si="38"/>
        <v>45.920685551499624</v>
      </c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</row>
    <row r="25" spans="1:53" s="20" customFormat="1" x14ac:dyDescent="0.25">
      <c r="A25" s="15" t="s">
        <v>0</v>
      </c>
      <c r="B25" s="15" t="s">
        <v>49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s="20" customFormat="1" x14ac:dyDescent="0.25">
      <c r="A26" s="52" t="s">
        <v>1</v>
      </c>
      <c r="B26" s="52" t="s">
        <v>3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X26" s="16"/>
      <c r="Y26" s="16"/>
      <c r="AA26" s="16"/>
      <c r="AB26" s="16"/>
      <c r="AD26" s="16"/>
      <c r="AE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 s="20" customFormat="1" x14ac:dyDescent="0.25">
      <c r="A27" s="52"/>
      <c r="B27" s="51" t="s">
        <v>2</v>
      </c>
      <c r="C27" s="53" t="s">
        <v>21</v>
      </c>
      <c r="D27" s="53"/>
      <c r="E27" s="53"/>
      <c r="F27" s="53"/>
      <c r="G27" s="67" t="s">
        <v>38</v>
      </c>
      <c r="H27" s="67"/>
      <c r="I27" s="67"/>
      <c r="J27" s="67"/>
      <c r="K27" s="70" t="s">
        <v>20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X27" s="16"/>
      <c r="Y27" s="16"/>
      <c r="AA27" s="16"/>
      <c r="AB27" s="16"/>
      <c r="AD27" s="16"/>
      <c r="AE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1:53" s="20" customFormat="1" x14ac:dyDescent="0.25">
      <c r="A28" s="52"/>
      <c r="B28" s="51"/>
      <c r="C28" s="53" t="s">
        <v>47</v>
      </c>
      <c r="D28" s="53" t="s">
        <v>23</v>
      </c>
      <c r="E28" s="53" t="s">
        <v>24</v>
      </c>
      <c r="F28" s="53" t="s">
        <v>25</v>
      </c>
      <c r="G28" s="67" t="s">
        <v>26</v>
      </c>
      <c r="H28" s="67" t="s">
        <v>27</v>
      </c>
      <c r="I28" s="67" t="s">
        <v>28</v>
      </c>
      <c r="J28" s="67" t="s">
        <v>29</v>
      </c>
      <c r="K28" s="19" t="s">
        <v>31</v>
      </c>
      <c r="L28" s="19" t="s">
        <v>32</v>
      </c>
      <c r="M28" s="19" t="s">
        <v>33</v>
      </c>
      <c r="N28" s="19" t="s">
        <v>34</v>
      </c>
      <c r="O28" s="19" t="s">
        <v>31</v>
      </c>
      <c r="P28" s="19" t="s">
        <v>32</v>
      </c>
      <c r="Q28" s="19" t="s">
        <v>33</v>
      </c>
      <c r="R28" s="19" t="s">
        <v>34</v>
      </c>
      <c r="S28" s="19" t="s">
        <v>31</v>
      </c>
      <c r="T28" s="19" t="s">
        <v>32</v>
      </c>
      <c r="U28" s="19" t="s">
        <v>33</v>
      </c>
      <c r="V28" s="19" t="s">
        <v>34</v>
      </c>
      <c r="X28" s="16"/>
      <c r="Y28" s="16"/>
      <c r="AA28" s="16"/>
      <c r="AB28" s="16"/>
      <c r="AD28" s="16"/>
      <c r="AE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 s="20" customFormat="1" x14ac:dyDescent="0.25">
      <c r="A29" s="52"/>
      <c r="B29" s="51"/>
      <c r="C29" s="53"/>
      <c r="D29" s="53"/>
      <c r="E29" s="53"/>
      <c r="F29" s="53"/>
      <c r="G29" s="67"/>
      <c r="H29" s="67"/>
      <c r="I29" s="67"/>
      <c r="J29" s="67"/>
      <c r="K29" s="61" t="s">
        <v>35</v>
      </c>
      <c r="L29" s="61"/>
      <c r="M29" s="61"/>
      <c r="N29" s="61"/>
      <c r="O29" s="61" t="s">
        <v>36</v>
      </c>
      <c r="P29" s="61"/>
      <c r="Q29" s="61"/>
      <c r="R29" s="61"/>
      <c r="S29" s="61" t="s">
        <v>37</v>
      </c>
      <c r="T29" s="61"/>
      <c r="U29" s="61"/>
      <c r="V29" s="61"/>
      <c r="X29" s="16"/>
      <c r="Y29" s="16"/>
      <c r="AA29" s="16"/>
      <c r="AB29" s="16"/>
      <c r="AD29" s="16"/>
      <c r="AE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1:53" s="20" customFormat="1" x14ac:dyDescent="0.25">
      <c r="A30" s="16" t="s">
        <v>12</v>
      </c>
      <c r="B30" s="16" t="s">
        <v>13</v>
      </c>
      <c r="C30" s="16" t="s">
        <v>15</v>
      </c>
      <c r="D30" s="16" t="s">
        <v>17</v>
      </c>
      <c r="E30" s="16" t="s">
        <v>17</v>
      </c>
      <c r="F30" s="16" t="s">
        <v>19</v>
      </c>
      <c r="G30" s="16" t="s">
        <v>15</v>
      </c>
      <c r="H30" s="16" t="s">
        <v>17</v>
      </c>
      <c r="I30" s="16" t="s">
        <v>17</v>
      </c>
      <c r="J30" s="16" t="s">
        <v>19</v>
      </c>
      <c r="K30" s="16" t="s">
        <v>14</v>
      </c>
      <c r="L30" s="16" t="s">
        <v>16</v>
      </c>
      <c r="M30" s="20" t="s">
        <v>16</v>
      </c>
      <c r="N30" s="16" t="s">
        <v>18</v>
      </c>
      <c r="O30" s="16" t="s">
        <v>14</v>
      </c>
      <c r="P30" s="16" t="s">
        <v>16</v>
      </c>
      <c r="Q30" s="20" t="s">
        <v>16</v>
      </c>
      <c r="R30" s="16" t="s">
        <v>18</v>
      </c>
      <c r="S30" s="16" t="s">
        <v>14</v>
      </c>
      <c r="T30" s="16" t="s">
        <v>16</v>
      </c>
      <c r="U30" s="20" t="s">
        <v>16</v>
      </c>
      <c r="V30" s="16" t="s">
        <v>18</v>
      </c>
      <c r="X30" s="16"/>
      <c r="Y30" s="16"/>
      <c r="AA30" s="16"/>
      <c r="AB30" s="16"/>
      <c r="AD30" s="16"/>
      <c r="AE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1:53" s="20" customFormat="1" x14ac:dyDescent="0.25">
      <c r="A31" s="16" t="s">
        <v>4</v>
      </c>
      <c r="B31" s="3">
        <v>68.600000000000009</v>
      </c>
      <c r="C31" s="4">
        <v>80.28</v>
      </c>
      <c r="D31" s="5">
        <v>80.28</v>
      </c>
      <c r="E31" s="5">
        <v>80.28</v>
      </c>
      <c r="F31" s="5">
        <v>80.28</v>
      </c>
      <c r="G31" s="6">
        <v>81.06</v>
      </c>
      <c r="H31" s="6">
        <v>78.81</v>
      </c>
      <c r="I31" s="6">
        <v>80.31</v>
      </c>
      <c r="J31" s="6">
        <v>69.290000000000006</v>
      </c>
      <c r="K31" s="7">
        <v>88.921868749999987</v>
      </c>
      <c r="L31" s="7">
        <v>93.088546874999992</v>
      </c>
      <c r="M31" s="8">
        <v>92.572912500000001</v>
      </c>
      <c r="N31" s="7">
        <v>93.984378125000006</v>
      </c>
      <c r="O31" s="7">
        <v>87.661456249999986</v>
      </c>
      <c r="P31" s="7">
        <v>93.755215624999991</v>
      </c>
      <c r="Q31" s="7">
        <v>93.062496875000008</v>
      </c>
      <c r="R31" s="7">
        <v>94.052081250000001</v>
      </c>
      <c r="S31" s="7">
        <v>90.494793749999999</v>
      </c>
      <c r="T31" s="7">
        <v>92.666662500000001</v>
      </c>
      <c r="U31" s="7">
        <v>91.468753125000006</v>
      </c>
      <c r="V31" s="7">
        <v>94.536459375000007</v>
      </c>
      <c r="X31" s="16"/>
      <c r="Y31" s="16"/>
      <c r="AA31" s="16"/>
      <c r="AB31" s="16"/>
      <c r="AD31" s="16"/>
      <c r="AE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1:53" s="37" customFormat="1" x14ac:dyDescent="0.25">
      <c r="A32" s="31"/>
      <c r="B32" s="32"/>
      <c r="C32" s="33"/>
      <c r="D32" s="34"/>
      <c r="E32" s="34"/>
      <c r="F32" s="34"/>
      <c r="G32" s="35"/>
      <c r="H32" s="35"/>
      <c r="I32" s="35"/>
      <c r="J32" s="35"/>
      <c r="K32" s="36">
        <f>(K31-81.06)/81.06*100</f>
        <v>9.6988264865531519</v>
      </c>
      <c r="L32" s="36">
        <f>(L31-78.81)/78.81*100</f>
        <v>18.117684145413005</v>
      </c>
      <c r="M32" s="36">
        <f>(M31-80.31)/80.31*100</f>
        <v>15.269471423234963</v>
      </c>
      <c r="N32" s="36">
        <f>(N31-69.29)/69.29*100</f>
        <v>35.639166005195548</v>
      </c>
      <c r="O32" s="36">
        <f t="shared" ref="O32" si="39">(O31-81.06)/81.06*100</f>
        <v>8.1439134591660292</v>
      </c>
      <c r="P32" s="36">
        <f>(P31-78.81)/78.81*100</f>
        <v>18.963603127775649</v>
      </c>
      <c r="Q32" s="36">
        <f t="shared" ref="Q32" si="40">(Q31-80.31)/80.31*100</f>
        <v>15.879089621466822</v>
      </c>
      <c r="R32" s="36">
        <f>(R31-69.29)/69.29*100</f>
        <v>35.736875811805447</v>
      </c>
      <c r="S32" s="36">
        <f t="shared" ref="S32" si="41">(S31-81.06)/81.06*100</f>
        <v>11.639271835677272</v>
      </c>
      <c r="T32" s="36">
        <f>(T31-78.81)/78.81*100</f>
        <v>17.582365816520745</v>
      </c>
      <c r="U32" s="36">
        <f>(U31-80.31)/80.31*100</f>
        <v>13.894599831901386</v>
      </c>
      <c r="V32" s="36">
        <f t="shared" ref="V32" si="42">(V31-69.29)/69.29*100</f>
        <v>36.435935019483331</v>
      </c>
      <c r="X32" s="31"/>
      <c r="Y32" s="31"/>
      <c r="AA32" s="31"/>
      <c r="AB32" s="31"/>
      <c r="AD32" s="31"/>
      <c r="AE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</row>
    <row r="33" spans="1:53" s="20" customFormat="1" x14ac:dyDescent="0.25">
      <c r="A33" s="16" t="s">
        <v>5</v>
      </c>
      <c r="B33" s="3">
        <v>59.3</v>
      </c>
      <c r="C33" s="4">
        <v>58.04</v>
      </c>
      <c r="D33" s="5">
        <v>80.28</v>
      </c>
      <c r="E33" s="5">
        <v>58.04</v>
      </c>
      <c r="F33" s="5">
        <v>58.04</v>
      </c>
      <c r="G33" s="6">
        <v>65.63</v>
      </c>
      <c r="H33" s="6">
        <v>66.36</v>
      </c>
      <c r="I33" s="6">
        <v>59.52</v>
      </c>
      <c r="J33" s="6">
        <v>62.14</v>
      </c>
      <c r="K33" s="7">
        <v>80.463543750000014</v>
      </c>
      <c r="L33" s="7">
        <v>89.156256249999998</v>
      </c>
      <c r="M33" s="8">
        <v>89.380209375000007</v>
      </c>
      <c r="N33" s="7">
        <v>92.973959375000021</v>
      </c>
      <c r="O33" s="7">
        <v>81.510415625000007</v>
      </c>
      <c r="P33" s="7">
        <v>90.229165625000007</v>
      </c>
      <c r="Q33" s="7">
        <v>88.625015625000003</v>
      </c>
      <c r="R33" s="7">
        <v>93.656259375000005</v>
      </c>
      <c r="S33" s="7">
        <v>82.083331250000001</v>
      </c>
      <c r="T33" s="7">
        <v>90.411465624999977</v>
      </c>
      <c r="U33" s="7">
        <v>87.895834374999993</v>
      </c>
      <c r="V33" s="7">
        <v>93.697912500000001</v>
      </c>
      <c r="X33" s="16"/>
      <c r="Y33" s="16"/>
      <c r="AA33" s="16"/>
      <c r="AB33" s="16"/>
      <c r="AD33" s="16"/>
      <c r="AE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 s="37" customFormat="1" x14ac:dyDescent="0.25">
      <c r="A34" s="31"/>
      <c r="B34" s="32"/>
      <c r="C34" s="33"/>
      <c r="D34" s="34"/>
      <c r="E34" s="34"/>
      <c r="F34" s="34"/>
      <c r="G34" s="35"/>
      <c r="H34" s="35"/>
      <c r="I34" s="35"/>
      <c r="J34" s="35"/>
      <c r="K34" s="36">
        <f>(K33-65.63)/65.63*100</f>
        <v>22.601773198232543</v>
      </c>
      <c r="L34" s="36">
        <f>(L33-66.36)/66.36*100</f>
        <v>34.352405440024107</v>
      </c>
      <c r="M34" s="36">
        <f>(M33-59.52)/59.52*100</f>
        <v>50.168362525201616</v>
      </c>
      <c r="N34" s="36">
        <f>(N33-62.14)/62.14*100</f>
        <v>49.620147046990695</v>
      </c>
      <c r="O34" s="36">
        <f t="shared" ref="O34" si="43">(O33-65.63)/65.63*100</f>
        <v>24.196884999238172</v>
      </c>
      <c r="P34" s="36">
        <f>(P33-66.36)/66.36*100</f>
        <v>35.969206788728165</v>
      </c>
      <c r="Q34" s="36">
        <f t="shared" ref="Q34" si="44">(Q33-59.52)/59.52*100</f>
        <v>48.899555821572577</v>
      </c>
      <c r="R34" s="36">
        <f>(R33-62.14)/62.14*100</f>
        <v>50.718151552944967</v>
      </c>
      <c r="S34" s="36">
        <f t="shared" ref="S34" si="45">(S33-65.63)/65.63*100</f>
        <v>25.06983277464575</v>
      </c>
      <c r="T34" s="36">
        <f>(T33-66.36)/66.36*100</f>
        <v>36.243920471669647</v>
      </c>
      <c r="U34" s="36">
        <f>(U33-59.52)/59.52*100</f>
        <v>47.674452914986539</v>
      </c>
      <c r="V34" s="36">
        <f t="shared" ref="V34" si="46">(V33-62.14)/62.14*100</f>
        <v>50.785182652075953</v>
      </c>
      <c r="X34" s="31"/>
      <c r="Y34" s="31"/>
      <c r="AA34" s="31"/>
      <c r="AB34" s="31"/>
      <c r="AD34" s="31"/>
      <c r="AE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</row>
    <row r="35" spans="1:53" s="20" customFormat="1" x14ac:dyDescent="0.25">
      <c r="A35" s="16" t="s">
        <v>6</v>
      </c>
      <c r="B35" s="3">
        <v>55.92</v>
      </c>
      <c r="C35" s="4">
        <v>56.94</v>
      </c>
      <c r="D35" s="5">
        <v>56.94</v>
      </c>
      <c r="E35" s="5">
        <v>56.94</v>
      </c>
      <c r="F35" s="5">
        <v>56.94</v>
      </c>
      <c r="G35" s="6">
        <v>62.72</v>
      </c>
      <c r="H35" s="6">
        <v>60.57</v>
      </c>
      <c r="I35" s="6">
        <v>59.67</v>
      </c>
      <c r="J35" s="6">
        <v>55.44</v>
      </c>
      <c r="K35" s="7">
        <v>86.302081250000015</v>
      </c>
      <c r="L35" s="7">
        <v>87.901046874999992</v>
      </c>
      <c r="M35" s="8">
        <v>89.916668749999999</v>
      </c>
      <c r="N35" s="7">
        <v>91.682287500000001</v>
      </c>
      <c r="O35" s="7">
        <v>88.854162499999987</v>
      </c>
      <c r="P35" s="7">
        <v>86.666671875000006</v>
      </c>
      <c r="Q35" s="7">
        <v>91.666671874999992</v>
      </c>
      <c r="R35" s="7">
        <v>91.958331249999986</v>
      </c>
      <c r="S35" s="7">
        <v>89.104171874999992</v>
      </c>
      <c r="T35" s="7">
        <v>88.744796875000006</v>
      </c>
      <c r="U35" s="7">
        <v>90.604168749999999</v>
      </c>
      <c r="V35" s="7">
        <v>92.421871874999994</v>
      </c>
      <c r="X35" s="16"/>
      <c r="Y35" s="16"/>
      <c r="AA35" s="16"/>
      <c r="AB35" s="16"/>
      <c r="AD35" s="16"/>
      <c r="AE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</row>
    <row r="36" spans="1:53" s="37" customFormat="1" x14ac:dyDescent="0.25">
      <c r="A36" s="31"/>
      <c r="B36" s="32"/>
      <c r="C36" s="33"/>
      <c r="D36" s="34"/>
      <c r="E36" s="34"/>
      <c r="F36" s="34"/>
      <c r="G36" s="35"/>
      <c r="H36" s="35"/>
      <c r="I36" s="35"/>
      <c r="J36" s="35"/>
      <c r="K36" s="36">
        <f>(K35-62.72)/62.72*100</f>
        <v>37.598981584821459</v>
      </c>
      <c r="L36" s="36">
        <f>(L35-60.57)/60.57*100</f>
        <v>45.123075573716349</v>
      </c>
      <c r="M36" s="36">
        <f>(M35-59.67)/59.67*100</f>
        <v>50.689909083291425</v>
      </c>
      <c r="N36" s="36">
        <f>(N35-55.44)/55.44*100</f>
        <v>65.372091450216459</v>
      </c>
      <c r="O36" s="36">
        <f t="shared" ref="O36" si="47">(O35-62.72)/62.72*100</f>
        <v>41.667988679846921</v>
      </c>
      <c r="P36" s="36">
        <f>(P35-60.57)/60.57*100</f>
        <v>43.085144254581486</v>
      </c>
      <c r="Q36" s="36">
        <f t="shared" ref="Q36" si="48">(Q35-59.67)/59.67*100</f>
        <v>53.62271137087312</v>
      </c>
      <c r="R36" s="36">
        <f>(R35-55.44)/55.44*100</f>
        <v>65.870005862193352</v>
      </c>
      <c r="S36" s="36">
        <f t="shared" ref="S36" si="49">(S35-62.72)/62.72*100</f>
        <v>42.066600566007644</v>
      </c>
      <c r="T36" s="36">
        <f>(T35-60.57)/60.57*100</f>
        <v>46.516091918441482</v>
      </c>
      <c r="U36" s="36">
        <f>(U35-59.67)/59.67*100</f>
        <v>51.842079353108758</v>
      </c>
      <c r="V36" s="36">
        <f t="shared" ref="V36" si="50">(V35-55.44)/55.44*100</f>
        <v>66.706118100649348</v>
      </c>
      <c r="X36" s="31"/>
      <c r="Y36" s="31"/>
      <c r="AA36" s="31"/>
      <c r="AB36" s="31"/>
      <c r="AD36" s="31"/>
      <c r="AE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</row>
    <row r="37" spans="1:53" s="20" customFormat="1" x14ac:dyDescent="0.25">
      <c r="A37" s="16" t="s">
        <v>7</v>
      </c>
      <c r="B37" s="3">
        <v>64.61</v>
      </c>
      <c r="C37" s="4">
        <v>65.48</v>
      </c>
      <c r="D37" s="5">
        <v>65.48</v>
      </c>
      <c r="E37" s="5">
        <v>65.48</v>
      </c>
      <c r="F37" s="5">
        <v>65.48</v>
      </c>
      <c r="G37" s="6">
        <v>73.239999999999995</v>
      </c>
      <c r="H37" s="6">
        <v>70.27</v>
      </c>
      <c r="I37" s="6">
        <v>70.5</v>
      </c>
      <c r="J37" s="6">
        <v>65.05</v>
      </c>
      <c r="K37" s="7">
        <v>84.135415625000007</v>
      </c>
      <c r="L37" s="7">
        <v>87.348959374999993</v>
      </c>
      <c r="M37" s="8">
        <v>93.187503125000006</v>
      </c>
      <c r="N37" s="7">
        <v>95.223956250000001</v>
      </c>
      <c r="O37" s="7">
        <v>84.499996874999994</v>
      </c>
      <c r="P37" s="7">
        <v>83.364584374999993</v>
      </c>
      <c r="Q37" s="7">
        <v>93.208337499999999</v>
      </c>
      <c r="R37" s="7">
        <v>94.640625</v>
      </c>
      <c r="S37" s="7">
        <v>82.307293749999999</v>
      </c>
      <c r="T37" s="7">
        <v>84.78125</v>
      </c>
      <c r="U37" s="7">
        <v>93.656246874999994</v>
      </c>
      <c r="V37" s="7">
        <v>95.026040624999993</v>
      </c>
      <c r="X37" s="16"/>
      <c r="Y37" s="16"/>
      <c r="AA37" s="16"/>
      <c r="AB37" s="16"/>
      <c r="AD37" s="16"/>
      <c r="AE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 s="37" customFormat="1" x14ac:dyDescent="0.25">
      <c r="A38" s="31"/>
      <c r="B38" s="32"/>
      <c r="C38" s="33"/>
      <c r="D38" s="34"/>
      <c r="E38" s="34"/>
      <c r="F38" s="34"/>
      <c r="G38" s="35"/>
      <c r="H38" s="35"/>
      <c r="I38" s="35"/>
      <c r="J38" s="35"/>
      <c r="K38" s="36">
        <f>(K37-73.24)/73.27*100</f>
        <v>14.870227412310649</v>
      </c>
      <c r="L38" s="36">
        <f>(L37-70.27)/70.27*100</f>
        <v>24.304766436601678</v>
      </c>
      <c r="M38" s="36">
        <f>(M37-70.5)/70.5*100</f>
        <v>32.180855496453908</v>
      </c>
      <c r="N38" s="36">
        <f>(N37-65.05)/65.05*100</f>
        <v>46.385789777094551</v>
      </c>
      <c r="O38" s="36">
        <f t="shared" ref="O38" si="51">(O37-73.24)/73.27*100</f>
        <v>15.367813395659887</v>
      </c>
      <c r="P38" s="36">
        <f>(P37-70.27)/70.27*100</f>
        <v>18.634672513163508</v>
      </c>
      <c r="Q38" s="36">
        <f t="shared" ref="Q38" si="52">(Q37-70.5)/70.5*100</f>
        <v>32.210407801418441</v>
      </c>
      <c r="R38" s="36">
        <f>(R37-65.05)/65.05*100</f>
        <v>45.489046887009998</v>
      </c>
      <c r="S38" s="36">
        <f t="shared" ref="S38" si="53">(S37-73.24)/73.27*100</f>
        <v>12.375179131977623</v>
      </c>
      <c r="T38" s="36">
        <f>(T37-70.27)/70.27*100</f>
        <v>20.650704425786259</v>
      </c>
      <c r="U38" s="36">
        <f>(U37-70.5)/70.5*100</f>
        <v>32.845740248226939</v>
      </c>
      <c r="V38" s="36">
        <f t="shared" ref="V38" si="54">(V37-65.05)/65.05*100</f>
        <v>46.081538239815522</v>
      </c>
      <c r="X38" s="31"/>
      <c r="Y38" s="31"/>
      <c r="AA38" s="31"/>
      <c r="AB38" s="31"/>
      <c r="AD38" s="31"/>
      <c r="AE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</row>
    <row r="39" spans="1:53" s="20" customFormat="1" x14ac:dyDescent="0.25">
      <c r="A39" s="16" t="s">
        <v>8</v>
      </c>
      <c r="B39" s="3">
        <v>58.099999999999994</v>
      </c>
      <c r="C39" s="4">
        <v>57.89</v>
      </c>
      <c r="D39" s="5">
        <v>57.89</v>
      </c>
      <c r="E39" s="5">
        <v>57.89</v>
      </c>
      <c r="F39" s="5">
        <v>57.89</v>
      </c>
      <c r="G39" s="6">
        <v>76.78</v>
      </c>
      <c r="H39" s="6">
        <v>73.31</v>
      </c>
      <c r="I39" s="6">
        <v>71.569999999999993</v>
      </c>
      <c r="J39" s="6">
        <v>70.349999999999994</v>
      </c>
      <c r="K39" s="7">
        <v>83.479165625000007</v>
      </c>
      <c r="L39" s="7">
        <v>87.067709374999993</v>
      </c>
      <c r="M39" s="8">
        <v>87.510421874999992</v>
      </c>
      <c r="N39" s="7">
        <v>89.484378124999992</v>
      </c>
      <c r="O39" s="7">
        <v>84.697912500000015</v>
      </c>
      <c r="P39" s="7">
        <v>92.604171874999992</v>
      </c>
      <c r="Q39" s="7">
        <v>90.317703125000008</v>
      </c>
      <c r="R39" s="7">
        <v>90.270828125000008</v>
      </c>
      <c r="S39" s="7">
        <v>85.046878125000006</v>
      </c>
      <c r="T39" s="7">
        <v>91.869787500000001</v>
      </c>
      <c r="U39" s="7">
        <v>88.854165625000007</v>
      </c>
      <c r="V39" s="7">
        <v>89.630212499999999</v>
      </c>
      <c r="X39" s="16"/>
      <c r="Y39" s="16"/>
      <c r="AA39" s="16"/>
      <c r="AB39" s="16"/>
      <c r="AD39" s="16"/>
      <c r="AE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53" s="37" customFormat="1" x14ac:dyDescent="0.25">
      <c r="A40" s="31"/>
      <c r="B40" s="32"/>
      <c r="C40" s="33"/>
      <c r="D40" s="34"/>
      <c r="E40" s="34"/>
      <c r="F40" s="34"/>
      <c r="G40" s="35"/>
      <c r="H40" s="35"/>
      <c r="I40" s="35"/>
      <c r="J40" s="35"/>
      <c r="K40" s="36">
        <f>(K39-76.78)/76.78*100</f>
        <v>8.7251440804897182</v>
      </c>
      <c r="L40" s="36">
        <f>(L39-73.31)/73.31*100</f>
        <v>18.76648393807119</v>
      </c>
      <c r="M40" s="36">
        <f>(M39-71.57)/71.57*100</f>
        <v>22.272491092636578</v>
      </c>
      <c r="N40" s="36">
        <f>(N39-70.5)/70.35*100</f>
        <v>26.98561211798151</v>
      </c>
      <c r="O40" s="36">
        <f t="shared" ref="O40" si="55">(O39-76.78)/76.78*100</f>
        <v>10.312467439437372</v>
      </c>
      <c r="P40" s="36">
        <f>(P39-73.31)/73.31*100</f>
        <v>26.318608477697435</v>
      </c>
      <c r="Q40" s="36">
        <f t="shared" ref="Q40" si="56">(Q39-71.57)/71.57*100</f>
        <v>26.194918436495762</v>
      </c>
      <c r="R40" s="36">
        <f>(R39-70.5)/70.35*100</f>
        <v>28.103522565742729</v>
      </c>
      <c r="S40" s="36">
        <f t="shared" ref="S40" si="57">(S39-76.78)/76.78*100</f>
        <v>10.766968123209175</v>
      </c>
      <c r="T40" s="36">
        <f>(T39-73.31)/73.31*100</f>
        <v>25.316856499795389</v>
      </c>
      <c r="U40" s="36">
        <f>(U39-71.57)/71.57*100</f>
        <v>24.150014845605721</v>
      </c>
      <c r="V40" s="36">
        <f t="shared" ref="V40" si="58">(V39-70.5)/70.35*100</f>
        <v>27.192910447761193</v>
      </c>
      <c r="X40" s="31"/>
      <c r="Y40" s="31"/>
      <c r="AA40" s="31"/>
      <c r="AB40" s="31"/>
      <c r="AD40" s="31"/>
      <c r="AE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</row>
    <row r="41" spans="1:53" s="20" customFormat="1" x14ac:dyDescent="0.25">
      <c r="A41" s="16" t="s">
        <v>9</v>
      </c>
      <c r="B41" s="3">
        <v>57.48</v>
      </c>
      <c r="C41" s="4">
        <v>58.8</v>
      </c>
      <c r="D41" s="5">
        <v>58.8</v>
      </c>
      <c r="E41" s="5">
        <v>58.8</v>
      </c>
      <c r="F41" s="5">
        <v>58.8</v>
      </c>
      <c r="G41" s="6">
        <v>64.569999999999993</v>
      </c>
      <c r="H41" s="6">
        <v>60.26</v>
      </c>
      <c r="I41" s="6">
        <v>63.14</v>
      </c>
      <c r="J41" s="6">
        <v>62.07</v>
      </c>
      <c r="K41" s="7">
        <v>90.270840625000005</v>
      </c>
      <c r="L41" s="7">
        <v>86.786462499999999</v>
      </c>
      <c r="M41" s="8">
        <v>90.609371874999994</v>
      </c>
      <c r="N41" s="7">
        <v>88.942703125000008</v>
      </c>
      <c r="O41" s="7">
        <v>87.093749999999986</v>
      </c>
      <c r="P41" s="7">
        <v>89.427090625000005</v>
      </c>
      <c r="Q41" s="7">
        <v>92.265625</v>
      </c>
      <c r="R41" s="7">
        <v>88.020828124999994</v>
      </c>
      <c r="S41" s="7">
        <v>89.682296874999992</v>
      </c>
      <c r="T41" s="7">
        <v>88.661456250000015</v>
      </c>
      <c r="U41" s="7">
        <v>92.171875</v>
      </c>
      <c r="V41" s="7">
        <v>89.203124999999986</v>
      </c>
      <c r="X41" s="16"/>
      <c r="Y41" s="16"/>
      <c r="AA41" s="16"/>
      <c r="AB41" s="16"/>
      <c r="AD41" s="16"/>
      <c r="AE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 s="37" customFormat="1" x14ac:dyDescent="0.25">
      <c r="A42" s="31"/>
      <c r="B42" s="32"/>
      <c r="C42" s="33"/>
      <c r="D42" s="34"/>
      <c r="E42" s="34"/>
      <c r="F42" s="34"/>
      <c r="G42" s="35"/>
      <c r="H42" s="35"/>
      <c r="I42" s="35"/>
      <c r="J42" s="35"/>
      <c r="K42" s="36">
        <f>(K41-64.57)/64.57*100</f>
        <v>39.803067407464788</v>
      </c>
      <c r="L42" s="36">
        <f>(L41-60.26)/60.26*100</f>
        <v>44.020017424493865</v>
      </c>
      <c r="M42" s="36">
        <f>(M41-63.14)/63.14*100</f>
        <v>43.505498693379778</v>
      </c>
      <c r="N42" s="36">
        <f>(N41-62.07)/62.07*100</f>
        <v>43.294189020460784</v>
      </c>
      <c r="O42" s="36">
        <f t="shared" ref="O42" si="59">(O41-64.57)/64.57*100</f>
        <v>34.882685457642857</v>
      </c>
      <c r="P42" s="36">
        <f>(P41-60.26)/60.26*100</f>
        <v>48.402075381679403</v>
      </c>
      <c r="Q42" s="36">
        <f t="shared" ref="Q42" si="60">(Q41-63.14)/63.14*100</f>
        <v>46.128642698764651</v>
      </c>
      <c r="R42" s="36">
        <f>(R41-62.07)/62.07*100</f>
        <v>41.80897071854357</v>
      </c>
      <c r="S42" s="36">
        <f t="shared" ref="S42" si="61">(S41-64.57)/64.57*100</f>
        <v>38.89158568220536</v>
      </c>
      <c r="T42" s="36">
        <f>(T41-60.26)/60.26*100</f>
        <v>47.131523813474971</v>
      </c>
      <c r="U42" s="36">
        <f>(U41-63.14)/63.14*100</f>
        <v>45.980163129553368</v>
      </c>
      <c r="V42" s="36">
        <f t="shared" ref="V42" si="62">(V41-62.07)/62.07*100</f>
        <v>43.713750604156573</v>
      </c>
      <c r="X42" s="31"/>
      <c r="Y42" s="31"/>
      <c r="AA42" s="31"/>
      <c r="AB42" s="31"/>
      <c r="AD42" s="31"/>
      <c r="AE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</row>
    <row r="43" spans="1:53" s="20" customFormat="1" x14ac:dyDescent="0.25">
      <c r="A43" s="16" t="s">
        <v>10</v>
      </c>
      <c r="B43" s="3">
        <v>66.59</v>
      </c>
      <c r="C43" s="4">
        <v>66.959999999999994</v>
      </c>
      <c r="D43" s="5">
        <v>66.959999999999994</v>
      </c>
      <c r="E43" s="5">
        <v>66.959999999999994</v>
      </c>
      <c r="F43" s="5">
        <v>66.959999999999994</v>
      </c>
      <c r="G43" s="6">
        <v>74.14</v>
      </c>
      <c r="H43" s="6">
        <v>73.77</v>
      </c>
      <c r="I43" s="6">
        <v>71.09</v>
      </c>
      <c r="J43" s="6">
        <v>69.069999999999993</v>
      </c>
      <c r="K43" s="7">
        <v>90.380206249999986</v>
      </c>
      <c r="L43" s="7">
        <v>94.708331250000001</v>
      </c>
      <c r="M43" s="8">
        <v>91.8125</v>
      </c>
      <c r="N43" s="7">
        <v>90.515631249999998</v>
      </c>
      <c r="O43" s="7">
        <v>86.552078125000008</v>
      </c>
      <c r="P43" s="7">
        <v>92.343743750000002</v>
      </c>
      <c r="Q43" s="7">
        <v>90.109371874999994</v>
      </c>
      <c r="R43" s="7">
        <v>91.156246874999994</v>
      </c>
      <c r="S43" s="7">
        <v>83.557290625000007</v>
      </c>
      <c r="T43" s="7">
        <v>92.338546874999992</v>
      </c>
      <c r="U43" s="7">
        <v>90.151040624999993</v>
      </c>
      <c r="V43" s="7">
        <v>90.968740625000009</v>
      </c>
      <c r="X43" s="16"/>
      <c r="Y43" s="16"/>
      <c r="AA43" s="16"/>
      <c r="AB43" s="16"/>
      <c r="AD43" s="16"/>
      <c r="AE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53" s="37" customFormat="1" x14ac:dyDescent="0.25">
      <c r="A44" s="31"/>
      <c r="B44" s="32"/>
      <c r="C44" s="33"/>
      <c r="D44" s="34"/>
      <c r="E44" s="34"/>
      <c r="F44" s="34"/>
      <c r="G44" s="35"/>
      <c r="H44" s="35"/>
      <c r="I44" s="35"/>
      <c r="J44" s="35"/>
      <c r="K44" s="36">
        <f>(K43-74.14)/74.14*100</f>
        <v>21.904783180469362</v>
      </c>
      <c r="L44" s="36">
        <f>(L43-73.77)/73.77*100</f>
        <v>28.383260471736488</v>
      </c>
      <c r="M44" s="36">
        <f>(M43-71.09)/71.09*100</f>
        <v>29.149669433112951</v>
      </c>
      <c r="N44" s="36">
        <f>(N43-69.07)/69.07*100</f>
        <v>31.049125886781535</v>
      </c>
      <c r="O44" s="36">
        <f t="shared" ref="O44" si="63">(O43-74.14)/74.14*100</f>
        <v>16.741405617750214</v>
      </c>
      <c r="P44" s="36">
        <f>(P43-73.77)/73.77*100</f>
        <v>25.177909380506989</v>
      </c>
      <c r="Q44" s="36">
        <f t="shared" ref="Q44" si="64">(Q43-71.09)/71.09*100</f>
        <v>26.753934273456164</v>
      </c>
      <c r="R44" s="36">
        <f>(R43-69.07)/69.07*100</f>
        <v>31.976613399449839</v>
      </c>
      <c r="S44" s="36">
        <f t="shared" ref="S44" si="65">(S43-74.14)/74.14*100</f>
        <v>12.702037530347997</v>
      </c>
      <c r="T44" s="36">
        <f>(T43-73.77)/73.77*100</f>
        <v>25.170864680764531</v>
      </c>
      <c r="U44" s="36">
        <f>(U43-71.09)/71.09*100</f>
        <v>26.812548354198888</v>
      </c>
      <c r="V44" s="36">
        <f t="shared" ref="V44" si="66">(V43-69.07)/69.07*100</f>
        <v>31.705140618213434</v>
      </c>
      <c r="X44" s="31"/>
      <c r="Y44" s="31"/>
      <c r="AA44" s="31"/>
      <c r="AB44" s="31"/>
      <c r="AD44" s="31"/>
      <c r="AE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</row>
    <row r="45" spans="1:53" s="20" customFormat="1" x14ac:dyDescent="0.25">
      <c r="A45" s="16" t="s">
        <v>11</v>
      </c>
      <c r="B45" s="3">
        <v>56.8</v>
      </c>
      <c r="C45" s="4">
        <v>59.79</v>
      </c>
      <c r="D45" s="5">
        <v>59.79</v>
      </c>
      <c r="E45" s="5">
        <v>59.79</v>
      </c>
      <c r="F45" s="5">
        <v>59.79</v>
      </c>
      <c r="G45" s="6">
        <v>56.42</v>
      </c>
      <c r="H45" s="6">
        <v>58.32</v>
      </c>
      <c r="I45" s="6">
        <v>57.97</v>
      </c>
      <c r="J45" s="6">
        <v>53.39</v>
      </c>
      <c r="K45" s="7">
        <v>80.234371874999994</v>
      </c>
      <c r="L45" s="7">
        <v>85.796875</v>
      </c>
      <c r="M45" s="8">
        <v>91.302087499999999</v>
      </c>
      <c r="N45" s="7">
        <v>93.072912500000001</v>
      </c>
      <c r="O45" s="7">
        <v>85.385418749999999</v>
      </c>
      <c r="P45" s="7">
        <v>88.875006249999998</v>
      </c>
      <c r="Q45" s="7">
        <v>87.854168749999999</v>
      </c>
      <c r="R45" s="7">
        <v>93.619796874999992</v>
      </c>
      <c r="S45" s="7">
        <v>81.057296874999992</v>
      </c>
      <c r="T45" s="7">
        <v>87.322918749999985</v>
      </c>
      <c r="U45" s="7">
        <v>90.875003124999978</v>
      </c>
      <c r="V45" s="7">
        <v>94.041671874999992</v>
      </c>
      <c r="X45" s="16"/>
      <c r="Y45" s="16"/>
      <c r="AA45" s="16"/>
      <c r="AB45" s="16"/>
      <c r="AD45" s="16"/>
      <c r="AE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1:53" s="37" customFormat="1" x14ac:dyDescent="0.25">
      <c r="A46" s="31"/>
      <c r="B46" s="32"/>
      <c r="C46" s="33"/>
      <c r="D46" s="34"/>
      <c r="E46" s="34"/>
      <c r="F46" s="34"/>
      <c r="G46" s="35"/>
      <c r="H46" s="35"/>
      <c r="I46" s="35"/>
      <c r="J46" s="35"/>
      <c r="K46" s="36">
        <f>(K45-56.42)/56.42*100</f>
        <v>42.209095843672436</v>
      </c>
      <c r="L46" s="36">
        <f>(L45-58.32)/58.32*100</f>
        <v>47.113983196159118</v>
      </c>
      <c r="M46" s="36">
        <f>(M45-57.97)/57.97*100</f>
        <v>57.498857167500425</v>
      </c>
      <c r="N46" s="36">
        <f>(N45-53.39)/53.39*100</f>
        <v>74.326489042891936</v>
      </c>
      <c r="O46" s="36">
        <f t="shared" ref="O46" si="67">(O45-56.42)/56.42*100</f>
        <v>51.338920152428216</v>
      </c>
      <c r="P46" s="36">
        <f>(P45-58.32)/58.32*100</f>
        <v>52.391986025377221</v>
      </c>
      <c r="Q46" s="36">
        <f t="shared" ref="Q46" si="68">(Q45-57.97)/57.97*100</f>
        <v>51.551093237881659</v>
      </c>
      <c r="R46" s="36">
        <f>(R45-53.39)/53.39*100</f>
        <v>75.350808906162186</v>
      </c>
      <c r="S46" s="36">
        <f t="shared" ref="S46" si="69">(S45-56.42)/56.42*100</f>
        <v>43.667665499822739</v>
      </c>
      <c r="T46" s="36">
        <f>(T45-58.32)/58.32*100</f>
        <v>49.730656292866918</v>
      </c>
      <c r="U46" s="36">
        <f>(U45-57.97)/57.97*100</f>
        <v>56.762123727790204</v>
      </c>
      <c r="V46" s="36">
        <f t="shared" ref="V46" si="70">(V45-53.39)/53.39*100</f>
        <v>76.140984969095314</v>
      </c>
      <c r="X46" s="31"/>
      <c r="Y46" s="31"/>
      <c r="AA46" s="31"/>
      <c r="AB46" s="31"/>
      <c r="AD46" s="31"/>
      <c r="AE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</row>
    <row r="47" spans="1:53" s="20" customFormat="1" x14ac:dyDescent="0.25">
      <c r="A47" s="16" t="s">
        <v>30</v>
      </c>
      <c r="B47" s="3">
        <v>60.924999999999997</v>
      </c>
      <c r="C47" s="5">
        <f t="shared" ref="C47" si="71">AVERAGE(C31:C45)</f>
        <v>63.022500000000001</v>
      </c>
      <c r="D47" s="5">
        <f t="shared" ref="D47:J47" si="72">AVERAGE(D31:D45)</f>
        <v>65.802499999999995</v>
      </c>
      <c r="E47" s="5">
        <f t="shared" si="72"/>
        <v>63.022500000000001</v>
      </c>
      <c r="F47" s="5">
        <f t="shared" si="72"/>
        <v>63.022500000000001</v>
      </c>
      <c r="G47" s="6">
        <f t="shared" si="72"/>
        <v>69.319999999999993</v>
      </c>
      <c r="H47" s="6">
        <f t="shared" si="72"/>
        <v>67.708749999999995</v>
      </c>
      <c r="I47" s="6">
        <f t="shared" si="72"/>
        <v>66.721249999999998</v>
      </c>
      <c r="J47" s="6">
        <f t="shared" si="72"/>
        <v>63.349999999999994</v>
      </c>
      <c r="K47" s="7">
        <f t="shared" ref="K47:V47" si="73">AVERAGE(K31,K33,K35,K37,K39,K41,K43,K45)</f>
        <v>85.523436718749991</v>
      </c>
      <c r="L47" s="7">
        <f t="shared" si="73"/>
        <v>88.981773437499996</v>
      </c>
      <c r="M47" s="7">
        <f t="shared" si="73"/>
        <v>90.786459374999993</v>
      </c>
      <c r="N47" s="7">
        <f t="shared" si="73"/>
        <v>91.985025781250002</v>
      </c>
      <c r="O47" s="7">
        <f t="shared" si="73"/>
        <v>85.781898828124994</v>
      </c>
      <c r="P47" s="7">
        <f t="shared" si="73"/>
        <v>89.658206250000006</v>
      </c>
      <c r="Q47" s="7">
        <f t="shared" si="73"/>
        <v>90.888673828124993</v>
      </c>
      <c r="R47" s="7">
        <f t="shared" si="73"/>
        <v>92.171874609374996</v>
      </c>
      <c r="S47" s="7">
        <f t="shared" si="73"/>
        <v>85.416669140625004</v>
      </c>
      <c r="T47" s="7">
        <f t="shared" si="73"/>
        <v>89.599610546874999</v>
      </c>
      <c r="U47" s="7">
        <f t="shared" si="73"/>
        <v>90.709635937499996</v>
      </c>
      <c r="V47" s="7">
        <f t="shared" si="73"/>
        <v>92.440754296875014</v>
      </c>
      <c r="X47" s="16"/>
      <c r="Y47" s="16"/>
      <c r="AA47" s="16"/>
      <c r="AB47" s="16"/>
      <c r="AD47" s="16"/>
      <c r="AE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1:53" s="39" customForma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>
        <f>(K47-69.32)/69.32*100</f>
        <v>23.374836582155222</v>
      </c>
      <c r="L48" s="37">
        <f>(L47-67.71)/67.71*100</f>
        <v>31.415999760005914</v>
      </c>
      <c r="M48" s="37">
        <f>(M47-66.72)/66.72*100</f>
        <v>36.070832396582723</v>
      </c>
      <c r="N48" s="37">
        <f>(N47-63.35)/63.35*100</f>
        <v>45.201303522099444</v>
      </c>
      <c r="O48" s="40">
        <f t="shared" ref="O48" si="74">(O47-69.32)/69.32*100</f>
        <v>23.74769017329054</v>
      </c>
      <c r="P48" s="40">
        <f t="shared" ref="P48" si="75">(P47-67.71)/67.71*100</f>
        <v>32.415014399645571</v>
      </c>
      <c r="Q48" s="40">
        <f t="shared" ref="Q48" si="76">(Q47-66.72)/66.72*100</f>
        <v>36.224031516973916</v>
      </c>
      <c r="R48" s="37">
        <f t="shared" ref="R48" si="77">(R47-63.35)/63.35*100</f>
        <v>45.496250369968422</v>
      </c>
      <c r="S48" s="37">
        <f t="shared" ref="S48" si="78">(S47-69.32)/69.32*100</f>
        <v>23.220815263452124</v>
      </c>
      <c r="T48" s="37">
        <f t="shared" ref="T48" si="79">(T47-67.71)/67.71*100</f>
        <v>32.3284751836878</v>
      </c>
      <c r="U48" s="37">
        <f t="shared" ref="U48" si="80">(U47-66.72)/66.72*100</f>
        <v>35.955689354766186</v>
      </c>
      <c r="V48" s="40">
        <f t="shared" ref="V48" si="81">(V47-63.35)/63.35*100</f>
        <v>45.920685551499624</v>
      </c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</row>
    <row r="49" spans="1:53" s="10" customForma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1:53" x14ac:dyDescent="0.25">
      <c r="A50" s="9" t="s">
        <v>40</v>
      </c>
      <c r="B50" s="64" t="s">
        <v>41</v>
      </c>
      <c r="C50" s="64"/>
      <c r="J50" s="15" t="s">
        <v>44</v>
      </c>
      <c r="K50" s="64" t="s">
        <v>41</v>
      </c>
      <c r="L50" s="64"/>
      <c r="M50" s="16"/>
      <c r="O50" s="16"/>
      <c r="P50" s="16"/>
      <c r="R50" s="16"/>
      <c r="S50" s="16"/>
      <c r="T50" s="16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53" s="20" customFormat="1" x14ac:dyDescent="0.25">
      <c r="A51" s="52" t="s">
        <v>1</v>
      </c>
      <c r="B51" s="51" t="s">
        <v>2</v>
      </c>
      <c r="C51" s="53" t="s">
        <v>21</v>
      </c>
      <c r="D51" s="67" t="s">
        <v>39</v>
      </c>
      <c r="E51" s="61" t="s">
        <v>20</v>
      </c>
      <c r="F51" s="61"/>
      <c r="G51" s="61"/>
      <c r="H51" s="61"/>
      <c r="I51" s="11"/>
      <c r="J51" s="52" t="s">
        <v>1</v>
      </c>
      <c r="K51" s="51" t="s">
        <v>2</v>
      </c>
      <c r="L51" s="53" t="s">
        <v>21</v>
      </c>
      <c r="M51" s="53"/>
      <c r="N51" s="53"/>
      <c r="O51" s="53"/>
      <c r="P51" s="67" t="s">
        <v>39</v>
      </c>
      <c r="Q51" s="67"/>
      <c r="R51" s="67"/>
      <c r="S51" s="67"/>
      <c r="T51" s="61" t="s">
        <v>20</v>
      </c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</row>
    <row r="52" spans="1:53" s="20" customFormat="1" x14ac:dyDescent="0.25">
      <c r="A52" s="52"/>
      <c r="B52" s="51"/>
      <c r="C52" s="53"/>
      <c r="D52" s="67"/>
      <c r="E52" s="19" t="s">
        <v>51</v>
      </c>
      <c r="F52" s="19" t="s">
        <v>52</v>
      </c>
      <c r="G52" s="19" t="s">
        <v>53</v>
      </c>
      <c r="H52" s="19" t="s">
        <v>54</v>
      </c>
      <c r="I52" s="11"/>
      <c r="J52" s="52"/>
      <c r="K52" s="51"/>
      <c r="L52" s="17" t="s">
        <v>22</v>
      </c>
      <c r="M52" s="17" t="s">
        <v>23</v>
      </c>
      <c r="N52" s="17" t="s">
        <v>24</v>
      </c>
      <c r="O52" s="17" t="s">
        <v>25</v>
      </c>
      <c r="P52" s="18" t="s">
        <v>26</v>
      </c>
      <c r="Q52" s="18" t="s">
        <v>27</v>
      </c>
      <c r="R52" s="18" t="s">
        <v>28</v>
      </c>
      <c r="S52" s="18" t="s">
        <v>29</v>
      </c>
      <c r="T52" s="61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</row>
    <row r="53" spans="1:53" s="26" customFormat="1" x14ac:dyDescent="0.25">
      <c r="A53" s="24" t="s">
        <v>55</v>
      </c>
      <c r="B53" s="23"/>
      <c r="C53" s="23"/>
      <c r="D53" s="23"/>
      <c r="E53" s="8">
        <v>6.9</v>
      </c>
      <c r="F53" s="8">
        <v>8.9</v>
      </c>
      <c r="G53" s="8">
        <v>9.01</v>
      </c>
      <c r="H53" s="8">
        <v>13.54</v>
      </c>
      <c r="I53" s="25"/>
      <c r="J53" s="16" t="s">
        <v>46</v>
      </c>
      <c r="K53" s="41">
        <f>K54/1000000</f>
        <v>241.45210800000001</v>
      </c>
      <c r="L53" s="48">
        <v>160.96807200000001</v>
      </c>
      <c r="M53" s="48">
        <v>80.489999999999995</v>
      </c>
      <c r="N53" s="48">
        <v>80.489999999999995</v>
      </c>
      <c r="O53" s="48">
        <v>40.24</v>
      </c>
      <c r="P53" s="47">
        <v>160.96807200000001</v>
      </c>
      <c r="Q53" s="47">
        <v>80.489999999999995</v>
      </c>
      <c r="R53" s="47">
        <v>80.489999999999995</v>
      </c>
      <c r="S53" s="47">
        <v>40.24</v>
      </c>
      <c r="T53" s="8">
        <v>46.57</v>
      </c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s="14" customFormat="1" x14ac:dyDescent="0.25">
      <c r="A54" s="12" t="s">
        <v>42</v>
      </c>
      <c r="B54" s="3">
        <v>0.57999999999999996</v>
      </c>
      <c r="C54" s="5">
        <v>0.83367999999999998</v>
      </c>
      <c r="D54" s="6">
        <v>0.45044651031494098</v>
      </c>
      <c r="E54" s="68" t="s">
        <v>56</v>
      </c>
      <c r="F54" s="68"/>
      <c r="G54" s="68"/>
      <c r="H54" s="68"/>
      <c r="I54" s="13"/>
      <c r="J54" s="16" t="s">
        <v>45</v>
      </c>
      <c r="K54" s="41">
        <v>241452108</v>
      </c>
      <c r="L54" s="5">
        <f>160964736+3336</f>
        <v>160968072</v>
      </c>
      <c r="M54" s="5">
        <f>80482432+3336</f>
        <v>80485768</v>
      </c>
      <c r="N54" s="5">
        <f>80482432+3336</f>
        <v>80485768</v>
      </c>
      <c r="O54" s="5">
        <f>40241280+3336</f>
        <v>40244616</v>
      </c>
      <c r="P54" s="6">
        <f>160964736+3336</f>
        <v>160968072</v>
      </c>
      <c r="Q54" s="6">
        <f>80482432+3336</f>
        <v>80485768</v>
      </c>
      <c r="R54" s="6">
        <f>80482432+3336</f>
        <v>80485768</v>
      </c>
      <c r="S54" s="6">
        <f>40241280+3336</f>
        <v>40244616</v>
      </c>
      <c r="T54" s="8">
        <v>46568231</v>
      </c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</row>
    <row r="55" spans="1:53" s="20" customFormat="1" x14ac:dyDescent="0.25">
      <c r="A55" s="16" t="s">
        <v>43</v>
      </c>
      <c r="B55" s="41">
        <f>0.58*(D55/D54)</f>
        <v>133.7046143416612</v>
      </c>
      <c r="C55" s="5">
        <v>191.53</v>
      </c>
      <c r="D55" s="6">
        <v>103.839270591735</v>
      </c>
      <c r="E55" s="45">
        <v>3.0961508750915501</v>
      </c>
      <c r="F55" s="45">
        <v>3.0961508750915501</v>
      </c>
      <c r="G55" s="45">
        <v>3.0961508750915501</v>
      </c>
      <c r="H55" s="45">
        <v>3.0961508750915501</v>
      </c>
      <c r="I55" s="16"/>
      <c r="J55" s="16"/>
      <c r="K55" s="16"/>
      <c r="L55" s="16"/>
      <c r="T55" s="37">
        <f>(AVERAGE(P54:S54)-T54)/AVERAGE(P54:S54)*100</f>
        <v>48.569564421447573</v>
      </c>
    </row>
    <row r="56" spans="1:53" s="20" customFormat="1" ht="33" x14ac:dyDescent="0.25">
      <c r="A56" s="21" t="s">
        <v>50</v>
      </c>
      <c r="B56" s="22"/>
      <c r="C56" s="23"/>
      <c r="D56" s="23"/>
      <c r="E56" s="7">
        <f>E53+E55</f>
        <v>9.9961508750915513</v>
      </c>
      <c r="F56" s="7">
        <f t="shared" ref="F56:H56" si="82">F53+F55</f>
        <v>11.996150875091551</v>
      </c>
      <c r="G56" s="7">
        <f t="shared" si="82"/>
        <v>12.106150875091551</v>
      </c>
      <c r="H56" s="7">
        <f t="shared" si="82"/>
        <v>16.636150875091548</v>
      </c>
      <c r="I56" s="16"/>
      <c r="J56" s="24"/>
      <c r="K56" s="24"/>
      <c r="L56" s="24"/>
      <c r="M56" s="24"/>
    </row>
    <row r="57" spans="1:53" s="28" customFormat="1" x14ac:dyDescent="0.25">
      <c r="A57" s="27" t="s">
        <v>57</v>
      </c>
      <c r="B57" s="42">
        <f>B55</f>
        <v>133.7046143416612</v>
      </c>
      <c r="C57" s="43">
        <f t="shared" ref="C57:D57" si="83">C55</f>
        <v>191.53</v>
      </c>
      <c r="D57" s="44">
        <f t="shared" si="83"/>
        <v>103.839270591735</v>
      </c>
      <c r="E57" s="46">
        <f>E56</f>
        <v>9.9961508750915513</v>
      </c>
      <c r="F57" s="46">
        <f t="shared" ref="F57:H57" si="84">F56</f>
        <v>11.996150875091551</v>
      </c>
      <c r="G57" s="46">
        <f t="shared" si="84"/>
        <v>12.106150875091551</v>
      </c>
      <c r="H57" s="46">
        <f t="shared" si="84"/>
        <v>16.636150875091548</v>
      </c>
      <c r="I57" s="27"/>
      <c r="J57" s="27"/>
      <c r="K57" s="27"/>
      <c r="L57" s="27"/>
    </row>
    <row r="58" spans="1:53" s="37" customFormat="1" x14ac:dyDescent="0.25">
      <c r="A58" s="31"/>
      <c r="E58" s="31">
        <f>(103.84-E57)/103.84*100</f>
        <v>90.373506476221536</v>
      </c>
      <c r="F58" s="31">
        <f t="shared" ref="F58:H58" si="85">(103.84-F57)/103.84*100</f>
        <v>88.447466414588249</v>
      </c>
      <c r="G58" s="31">
        <f t="shared" si="85"/>
        <v>88.341534211198436</v>
      </c>
      <c r="H58" s="31">
        <f t="shared" si="85"/>
        <v>83.979053471599059</v>
      </c>
      <c r="I58" s="31"/>
      <c r="J58" s="31"/>
      <c r="K58" s="31"/>
      <c r="L58" s="31"/>
    </row>
    <row r="59" spans="1:53" s="10" customFormat="1" x14ac:dyDescent="0.25"/>
    <row r="60" spans="1:53" s="20" customFormat="1" x14ac:dyDescent="0.25">
      <c r="A60" s="64" t="s">
        <v>58</v>
      </c>
      <c r="B60" s="64"/>
      <c r="C60" s="64"/>
      <c r="V60" s="2"/>
    </row>
    <row r="61" spans="1:53" s="20" customFormat="1" x14ac:dyDescent="0.25">
      <c r="A61" s="52" t="s">
        <v>1</v>
      </c>
      <c r="B61" s="51" t="s">
        <v>2</v>
      </c>
      <c r="C61" s="53" t="s">
        <v>21</v>
      </c>
      <c r="D61" s="53"/>
      <c r="E61" s="53"/>
      <c r="F61" s="53"/>
      <c r="G61" s="57" t="s">
        <v>62</v>
      </c>
      <c r="H61" s="54" t="s">
        <v>39</v>
      </c>
      <c r="I61" s="55"/>
      <c r="J61" s="55"/>
      <c r="K61" s="56"/>
      <c r="L61" s="59" t="s">
        <v>62</v>
      </c>
      <c r="M61" s="65" t="s">
        <v>63</v>
      </c>
      <c r="N61" s="66"/>
      <c r="O61" s="66"/>
      <c r="P61" s="66"/>
      <c r="Q61" s="62" t="s">
        <v>64</v>
      </c>
      <c r="R61" s="71"/>
      <c r="S61" s="71"/>
      <c r="T61" s="71"/>
      <c r="U61" s="71"/>
      <c r="V61" s="71"/>
      <c r="W61" s="71"/>
      <c r="X61" s="71"/>
      <c r="Y61" s="71"/>
      <c r="Z61" s="71"/>
      <c r="AA61" s="72"/>
    </row>
    <row r="62" spans="1:53" s="20" customFormat="1" x14ac:dyDescent="0.25">
      <c r="A62" s="52"/>
      <c r="B62" s="51"/>
      <c r="C62" s="17" t="s">
        <v>59</v>
      </c>
      <c r="D62" s="17" t="s">
        <v>52</v>
      </c>
      <c r="E62" s="17" t="s">
        <v>53</v>
      </c>
      <c r="F62" s="17" t="s">
        <v>54</v>
      </c>
      <c r="G62" s="58"/>
      <c r="H62" s="18" t="s">
        <v>60</v>
      </c>
      <c r="I62" s="18" t="s">
        <v>52</v>
      </c>
      <c r="J62" s="18" t="s">
        <v>53</v>
      </c>
      <c r="K62" s="18" t="s">
        <v>54</v>
      </c>
      <c r="L62" s="60"/>
      <c r="M62" s="19" t="s">
        <v>51</v>
      </c>
      <c r="N62" s="19" t="s">
        <v>52</v>
      </c>
      <c r="O62" s="19" t="s">
        <v>53</v>
      </c>
      <c r="P62" s="73" t="s">
        <v>54</v>
      </c>
      <c r="Q62" s="63"/>
      <c r="R62" s="74" t="s">
        <v>51</v>
      </c>
      <c r="S62" s="19" t="s">
        <v>52</v>
      </c>
      <c r="T62" s="19" t="s">
        <v>53</v>
      </c>
      <c r="U62" s="19" t="s">
        <v>54</v>
      </c>
      <c r="V62" s="49"/>
      <c r="W62" s="19" t="s">
        <v>51</v>
      </c>
      <c r="X62" s="19" t="s">
        <v>52</v>
      </c>
      <c r="Y62" s="19" t="s">
        <v>53</v>
      </c>
      <c r="Z62" s="19" t="s">
        <v>54</v>
      </c>
      <c r="AA62" s="49"/>
      <c r="AB62" s="16"/>
      <c r="AC62" s="16"/>
    </row>
    <row r="63" spans="1:53" s="20" customFormat="1" x14ac:dyDescent="0.25">
      <c r="A63" s="29" t="s">
        <v>61</v>
      </c>
      <c r="B63" s="41">
        <v>9.1</v>
      </c>
      <c r="C63" s="26">
        <v>6.9</v>
      </c>
      <c r="D63" s="26">
        <v>8.9</v>
      </c>
      <c r="E63" s="26">
        <v>9.01</v>
      </c>
      <c r="F63" s="26">
        <v>13.54</v>
      </c>
      <c r="G63" s="48">
        <f>AVERAGE(C63:F63)</f>
        <v>9.5875000000000004</v>
      </c>
      <c r="H63" s="26">
        <v>6.9</v>
      </c>
      <c r="I63" s="26">
        <v>8.9</v>
      </c>
      <c r="J63" s="26">
        <v>9.01</v>
      </c>
      <c r="K63" s="26">
        <v>13.54</v>
      </c>
      <c r="L63" s="47">
        <f>AVERAGE(H63:K63)</f>
        <v>9.5875000000000004</v>
      </c>
      <c r="M63" s="14">
        <v>85.71</v>
      </c>
      <c r="N63" s="20">
        <v>88.53</v>
      </c>
      <c r="O63" s="12">
        <v>88.61</v>
      </c>
      <c r="P63" s="14">
        <v>93.82</v>
      </c>
      <c r="Q63" s="8">
        <f>AVERAGE(M63:P63)</f>
        <v>89.167500000000004</v>
      </c>
      <c r="R63" s="12">
        <v>55.84</v>
      </c>
      <c r="S63" s="20">
        <v>50</v>
      </c>
      <c r="T63" s="12">
        <v>64.349999999999994</v>
      </c>
      <c r="U63" s="12">
        <v>62.62</v>
      </c>
      <c r="V63" s="8">
        <f>AVERAGE(R63:U63)</f>
        <v>58.202500000000001</v>
      </c>
      <c r="W63" s="12">
        <v>22.64</v>
      </c>
      <c r="X63" s="20">
        <v>26.22</v>
      </c>
      <c r="Y63" s="14">
        <v>39.89</v>
      </c>
      <c r="Z63" s="12">
        <v>26.71</v>
      </c>
      <c r="AA63" s="8">
        <f>AVERAGE(W63:Z63)</f>
        <v>28.865000000000002</v>
      </c>
      <c r="AB63" s="16"/>
      <c r="AC63" s="16"/>
    </row>
    <row r="64" spans="1:53" x14ac:dyDescent="0.25">
      <c r="A64" s="29">
        <v>2</v>
      </c>
      <c r="B64" s="41">
        <f>B63+133.7</f>
        <v>142.79999999999998</v>
      </c>
      <c r="C64" s="25">
        <f>C63+191.53</f>
        <v>198.43</v>
      </c>
      <c r="D64" s="25">
        <f t="shared" ref="D64:F70" si="86">D63+191.53</f>
        <v>200.43</v>
      </c>
      <c r="E64" s="25">
        <f t="shared" si="86"/>
        <v>200.54</v>
      </c>
      <c r="F64" s="25">
        <f t="shared" si="86"/>
        <v>205.07</v>
      </c>
      <c r="G64" s="48">
        <f t="shared" ref="G64:G70" si="87">AVERAGE(C64:F64)</f>
        <v>201.11750000000001</v>
      </c>
      <c r="H64" s="25">
        <f>H63+103.84</f>
        <v>110.74000000000001</v>
      </c>
      <c r="I64" s="25">
        <f t="shared" ref="I64:K70" si="88">I63+103.84</f>
        <v>112.74000000000001</v>
      </c>
      <c r="J64" s="25">
        <f t="shared" si="88"/>
        <v>112.85000000000001</v>
      </c>
      <c r="K64" s="25">
        <f t="shared" si="88"/>
        <v>117.38</v>
      </c>
      <c r="L64" s="47">
        <f t="shared" ref="L64:L70" si="89">AVERAGE(H64:K64)</f>
        <v>113.42750000000001</v>
      </c>
      <c r="M64" s="16">
        <f>M63+10</f>
        <v>95.71</v>
      </c>
      <c r="N64" s="16">
        <f>N63+12</f>
        <v>100.53</v>
      </c>
      <c r="O64" s="16">
        <f>O63+12.11</f>
        <v>100.72</v>
      </c>
      <c r="P64" s="16">
        <f>P63+16.64</f>
        <v>110.46</v>
      </c>
      <c r="Q64" s="8">
        <f t="shared" ref="Q64:Q70" si="90">AVERAGE(M64:P64)</f>
        <v>101.855</v>
      </c>
      <c r="R64" s="16">
        <f>R63+10</f>
        <v>65.84</v>
      </c>
      <c r="S64" s="16">
        <f>S63+12</f>
        <v>62</v>
      </c>
      <c r="T64" s="16">
        <f>T63+12.11</f>
        <v>76.459999999999994</v>
      </c>
      <c r="U64" s="16">
        <f>U63+16.64</f>
        <v>79.259999999999991</v>
      </c>
      <c r="V64" s="8">
        <f t="shared" ref="V64:V70" si="91">AVERAGE(R64:U64)</f>
        <v>70.89</v>
      </c>
      <c r="W64" s="16">
        <f>W63+10</f>
        <v>32.64</v>
      </c>
      <c r="X64" s="16">
        <f>X63+12</f>
        <v>38.22</v>
      </c>
      <c r="Y64" s="16">
        <f>Y63+12.11</f>
        <v>52</v>
      </c>
      <c r="Z64" s="16">
        <f>Z63+16.64</f>
        <v>43.35</v>
      </c>
      <c r="AA64" s="8">
        <f t="shared" ref="AA64:AA70" si="92">AVERAGE(W64:Z64)</f>
        <v>41.552500000000002</v>
      </c>
    </row>
    <row r="65" spans="1:33" x14ac:dyDescent="0.25">
      <c r="A65" s="29">
        <v>3</v>
      </c>
      <c r="B65" s="41">
        <f t="shared" ref="B65:B70" si="93">B64+133.7</f>
        <v>276.5</v>
      </c>
      <c r="C65" s="25">
        <f t="shared" ref="C65:C70" si="94">C64+191.53</f>
        <v>389.96000000000004</v>
      </c>
      <c r="D65" s="25">
        <f t="shared" si="86"/>
        <v>391.96000000000004</v>
      </c>
      <c r="E65" s="25">
        <f t="shared" si="86"/>
        <v>392.07</v>
      </c>
      <c r="F65" s="25">
        <f t="shared" si="86"/>
        <v>396.6</v>
      </c>
      <c r="G65" s="48">
        <f t="shared" si="87"/>
        <v>392.64750000000004</v>
      </c>
      <c r="H65" s="25">
        <f t="shared" ref="H65:H70" si="95">H64+103.84</f>
        <v>214.58</v>
      </c>
      <c r="I65" s="25">
        <f t="shared" si="88"/>
        <v>216.58</v>
      </c>
      <c r="J65" s="25">
        <f t="shared" si="88"/>
        <v>216.69</v>
      </c>
      <c r="K65" s="25">
        <f t="shared" si="88"/>
        <v>221.22</v>
      </c>
      <c r="L65" s="47">
        <f t="shared" si="89"/>
        <v>217.26750000000001</v>
      </c>
      <c r="M65" s="16">
        <f t="shared" ref="M65:M70" si="96">M64+10</f>
        <v>105.71</v>
      </c>
      <c r="N65" s="16">
        <f t="shared" ref="N65:N70" si="97">N64+12</f>
        <v>112.53</v>
      </c>
      <c r="O65" s="16">
        <f t="shared" ref="O65:O70" si="98">O64+12.11</f>
        <v>112.83</v>
      </c>
      <c r="P65" s="16">
        <f t="shared" ref="P65:P70" si="99">P64+16.64</f>
        <v>127.1</v>
      </c>
      <c r="Q65" s="8">
        <f t="shared" si="90"/>
        <v>114.54249999999999</v>
      </c>
      <c r="R65" s="16">
        <f t="shared" ref="R65:R70" si="100">R64+10</f>
        <v>75.84</v>
      </c>
      <c r="S65" s="16">
        <f t="shared" ref="S65:S70" si="101">S64+12</f>
        <v>74</v>
      </c>
      <c r="T65" s="16">
        <f t="shared" ref="T65:T70" si="102">T64+12.11</f>
        <v>88.57</v>
      </c>
      <c r="U65" s="16">
        <f t="shared" ref="U65:U70" si="103">U64+16.64</f>
        <v>95.899999999999991</v>
      </c>
      <c r="V65" s="8">
        <f t="shared" si="91"/>
        <v>83.577500000000001</v>
      </c>
      <c r="W65" s="16">
        <f t="shared" ref="W65:W70" si="104">W64+10</f>
        <v>42.64</v>
      </c>
      <c r="X65" s="16">
        <f t="shared" ref="X65:X70" si="105">X64+12</f>
        <v>50.22</v>
      </c>
      <c r="Y65" s="16">
        <f t="shared" ref="Y65:Y70" si="106">Y64+12.11</f>
        <v>64.11</v>
      </c>
      <c r="Z65" s="16">
        <f t="shared" ref="Z65:Z70" si="107">Z64+16.64</f>
        <v>59.99</v>
      </c>
      <c r="AA65" s="8">
        <f t="shared" si="92"/>
        <v>54.24</v>
      </c>
    </row>
    <row r="66" spans="1:33" s="20" customFormat="1" x14ac:dyDescent="0.25">
      <c r="A66" s="29">
        <v>4</v>
      </c>
      <c r="B66" s="41">
        <f t="shared" si="93"/>
        <v>410.2</v>
      </c>
      <c r="C66" s="25">
        <f t="shared" si="94"/>
        <v>581.49</v>
      </c>
      <c r="D66" s="25">
        <f t="shared" si="86"/>
        <v>583.49</v>
      </c>
      <c r="E66" s="25">
        <f t="shared" si="86"/>
        <v>583.6</v>
      </c>
      <c r="F66" s="25">
        <f t="shared" si="86"/>
        <v>588.13</v>
      </c>
      <c r="G66" s="48">
        <f t="shared" si="87"/>
        <v>584.17750000000001</v>
      </c>
      <c r="H66" s="25">
        <f t="shared" si="95"/>
        <v>318.42</v>
      </c>
      <c r="I66" s="25">
        <f t="shared" si="88"/>
        <v>320.42</v>
      </c>
      <c r="J66" s="25">
        <f t="shared" si="88"/>
        <v>320.52999999999997</v>
      </c>
      <c r="K66" s="25">
        <f t="shared" si="88"/>
        <v>325.06</v>
      </c>
      <c r="L66" s="47">
        <f t="shared" si="89"/>
        <v>321.10750000000002</v>
      </c>
      <c r="M66" s="16">
        <f t="shared" si="96"/>
        <v>115.71</v>
      </c>
      <c r="N66" s="16">
        <f t="shared" si="97"/>
        <v>124.53</v>
      </c>
      <c r="O66" s="16">
        <f t="shared" si="98"/>
        <v>124.94</v>
      </c>
      <c r="P66" s="16">
        <f t="shared" si="99"/>
        <v>143.74</v>
      </c>
      <c r="Q66" s="8">
        <f t="shared" si="90"/>
        <v>127.23</v>
      </c>
      <c r="R66" s="16">
        <f t="shared" si="100"/>
        <v>85.84</v>
      </c>
      <c r="S66" s="16">
        <f t="shared" si="101"/>
        <v>86</v>
      </c>
      <c r="T66" s="16">
        <f t="shared" si="102"/>
        <v>100.67999999999999</v>
      </c>
      <c r="U66" s="16">
        <f t="shared" si="103"/>
        <v>112.53999999999999</v>
      </c>
      <c r="V66" s="8">
        <f t="shared" si="91"/>
        <v>96.264999999999986</v>
      </c>
      <c r="W66" s="16">
        <f t="shared" si="104"/>
        <v>52.64</v>
      </c>
      <c r="X66" s="16">
        <f t="shared" si="105"/>
        <v>62.22</v>
      </c>
      <c r="Y66" s="16">
        <f t="shared" si="106"/>
        <v>76.22</v>
      </c>
      <c r="Z66" s="16">
        <f t="shared" si="107"/>
        <v>76.63</v>
      </c>
      <c r="AA66" s="8">
        <f t="shared" si="92"/>
        <v>66.927499999999995</v>
      </c>
    </row>
    <row r="67" spans="1:33" s="20" customFormat="1" x14ac:dyDescent="0.25">
      <c r="A67" s="29">
        <v>5</v>
      </c>
      <c r="B67" s="41">
        <f t="shared" si="93"/>
        <v>543.9</v>
      </c>
      <c r="C67" s="25">
        <f t="shared" si="94"/>
        <v>773.02</v>
      </c>
      <c r="D67" s="25">
        <f t="shared" si="86"/>
        <v>775.02</v>
      </c>
      <c r="E67" s="25">
        <f t="shared" si="86"/>
        <v>775.13</v>
      </c>
      <c r="F67" s="25">
        <f t="shared" si="86"/>
        <v>779.66</v>
      </c>
      <c r="G67" s="48">
        <f t="shared" si="87"/>
        <v>775.70749999999998</v>
      </c>
      <c r="H67" s="25">
        <f t="shared" si="95"/>
        <v>422.26</v>
      </c>
      <c r="I67" s="25">
        <f t="shared" si="88"/>
        <v>424.26</v>
      </c>
      <c r="J67" s="25">
        <f t="shared" si="88"/>
        <v>424.37</v>
      </c>
      <c r="K67" s="25">
        <f t="shared" si="88"/>
        <v>428.9</v>
      </c>
      <c r="L67" s="47">
        <f t="shared" si="89"/>
        <v>424.94749999999999</v>
      </c>
      <c r="M67" s="16">
        <f t="shared" si="96"/>
        <v>125.71</v>
      </c>
      <c r="N67" s="16">
        <f t="shared" si="97"/>
        <v>136.53</v>
      </c>
      <c r="O67" s="16">
        <f t="shared" si="98"/>
        <v>137.05000000000001</v>
      </c>
      <c r="P67" s="16">
        <f t="shared" si="99"/>
        <v>160.38</v>
      </c>
      <c r="Q67" s="8">
        <f t="shared" si="90"/>
        <v>139.91750000000002</v>
      </c>
      <c r="R67" s="16">
        <f t="shared" si="100"/>
        <v>95.84</v>
      </c>
      <c r="S67" s="16">
        <f t="shared" si="101"/>
        <v>98</v>
      </c>
      <c r="T67" s="16">
        <f t="shared" si="102"/>
        <v>112.78999999999999</v>
      </c>
      <c r="U67" s="16">
        <f t="shared" si="103"/>
        <v>129.18</v>
      </c>
      <c r="V67" s="8">
        <f t="shared" si="91"/>
        <v>108.9525</v>
      </c>
      <c r="W67" s="16">
        <f t="shared" si="104"/>
        <v>62.64</v>
      </c>
      <c r="X67" s="16">
        <f t="shared" si="105"/>
        <v>74.22</v>
      </c>
      <c r="Y67" s="16">
        <f t="shared" si="106"/>
        <v>88.33</v>
      </c>
      <c r="Z67" s="16">
        <f t="shared" si="107"/>
        <v>93.27</v>
      </c>
      <c r="AA67" s="8">
        <f t="shared" si="92"/>
        <v>79.614999999999995</v>
      </c>
    </row>
    <row r="68" spans="1:33" s="20" customFormat="1" x14ac:dyDescent="0.25">
      <c r="A68" s="29">
        <v>6</v>
      </c>
      <c r="B68" s="41">
        <f t="shared" si="93"/>
        <v>677.59999999999991</v>
      </c>
      <c r="C68" s="25">
        <f t="shared" si="94"/>
        <v>964.55</v>
      </c>
      <c r="D68" s="25">
        <f t="shared" si="86"/>
        <v>966.55</v>
      </c>
      <c r="E68" s="25">
        <f t="shared" si="86"/>
        <v>966.66</v>
      </c>
      <c r="F68" s="25">
        <f t="shared" si="86"/>
        <v>971.18999999999994</v>
      </c>
      <c r="G68" s="48">
        <f t="shared" si="87"/>
        <v>967.23749999999995</v>
      </c>
      <c r="H68" s="25">
        <f t="shared" si="95"/>
        <v>526.1</v>
      </c>
      <c r="I68" s="25">
        <f t="shared" si="88"/>
        <v>528.1</v>
      </c>
      <c r="J68" s="25">
        <f t="shared" si="88"/>
        <v>528.21</v>
      </c>
      <c r="K68" s="25">
        <f t="shared" si="88"/>
        <v>532.74</v>
      </c>
      <c r="L68" s="47">
        <f t="shared" si="89"/>
        <v>528.78750000000002</v>
      </c>
      <c r="M68" s="16">
        <f t="shared" si="96"/>
        <v>135.70999999999998</v>
      </c>
      <c r="N68" s="16">
        <f t="shared" si="97"/>
        <v>148.53</v>
      </c>
      <c r="O68" s="16">
        <f t="shared" si="98"/>
        <v>149.16000000000003</v>
      </c>
      <c r="P68" s="16">
        <f t="shared" si="99"/>
        <v>177.01999999999998</v>
      </c>
      <c r="Q68" s="8">
        <f t="shared" si="90"/>
        <v>152.60500000000002</v>
      </c>
      <c r="R68" s="16">
        <f t="shared" si="100"/>
        <v>105.84</v>
      </c>
      <c r="S68" s="16">
        <f t="shared" si="101"/>
        <v>110</v>
      </c>
      <c r="T68" s="16">
        <f t="shared" si="102"/>
        <v>124.89999999999999</v>
      </c>
      <c r="U68" s="16">
        <f t="shared" si="103"/>
        <v>145.82</v>
      </c>
      <c r="V68" s="8">
        <f t="shared" si="91"/>
        <v>121.64</v>
      </c>
      <c r="W68" s="16">
        <f t="shared" si="104"/>
        <v>72.64</v>
      </c>
      <c r="X68" s="16">
        <f t="shared" si="105"/>
        <v>86.22</v>
      </c>
      <c r="Y68" s="16">
        <f t="shared" si="106"/>
        <v>100.44</v>
      </c>
      <c r="Z68" s="16">
        <f t="shared" si="107"/>
        <v>109.91</v>
      </c>
      <c r="AA68" s="8">
        <f t="shared" si="92"/>
        <v>92.302500000000009</v>
      </c>
      <c r="AC68" s="26"/>
    </row>
    <row r="69" spans="1:33" s="20" customFormat="1" x14ac:dyDescent="0.25">
      <c r="A69" s="29">
        <v>7</v>
      </c>
      <c r="B69" s="41">
        <f t="shared" si="93"/>
        <v>811.3</v>
      </c>
      <c r="C69" s="25">
        <f t="shared" si="94"/>
        <v>1156.08</v>
      </c>
      <c r="D69" s="25">
        <f t="shared" si="86"/>
        <v>1158.08</v>
      </c>
      <c r="E69" s="25">
        <f t="shared" si="86"/>
        <v>1158.19</v>
      </c>
      <c r="F69" s="25">
        <f t="shared" si="86"/>
        <v>1162.72</v>
      </c>
      <c r="G69" s="48">
        <f t="shared" si="87"/>
        <v>1158.7674999999999</v>
      </c>
      <c r="H69" s="25">
        <f t="shared" si="95"/>
        <v>629.94000000000005</v>
      </c>
      <c r="I69" s="25">
        <f t="shared" si="88"/>
        <v>631.94000000000005</v>
      </c>
      <c r="J69" s="25">
        <f t="shared" si="88"/>
        <v>632.05000000000007</v>
      </c>
      <c r="K69" s="25">
        <f t="shared" si="88"/>
        <v>636.58000000000004</v>
      </c>
      <c r="L69" s="47">
        <f t="shared" si="89"/>
        <v>632.62750000000005</v>
      </c>
      <c r="M69" s="16">
        <f t="shared" si="96"/>
        <v>145.70999999999998</v>
      </c>
      <c r="N69" s="16">
        <f t="shared" si="97"/>
        <v>160.53</v>
      </c>
      <c r="O69" s="16">
        <f t="shared" si="98"/>
        <v>161.27000000000004</v>
      </c>
      <c r="P69" s="16">
        <f t="shared" si="99"/>
        <v>193.65999999999997</v>
      </c>
      <c r="Q69" s="8">
        <f t="shared" si="90"/>
        <v>165.29250000000002</v>
      </c>
      <c r="R69" s="16">
        <f t="shared" si="100"/>
        <v>115.84</v>
      </c>
      <c r="S69" s="16">
        <f t="shared" si="101"/>
        <v>122</v>
      </c>
      <c r="T69" s="16">
        <f t="shared" si="102"/>
        <v>137.01</v>
      </c>
      <c r="U69" s="16">
        <f t="shared" si="103"/>
        <v>162.45999999999998</v>
      </c>
      <c r="V69" s="8">
        <f t="shared" si="91"/>
        <v>134.32749999999999</v>
      </c>
      <c r="W69" s="16">
        <f t="shared" si="104"/>
        <v>82.64</v>
      </c>
      <c r="X69" s="16">
        <f t="shared" si="105"/>
        <v>98.22</v>
      </c>
      <c r="Y69" s="16">
        <f t="shared" si="106"/>
        <v>112.55</v>
      </c>
      <c r="Z69" s="16">
        <f t="shared" si="107"/>
        <v>126.55</v>
      </c>
      <c r="AA69" s="8">
        <f t="shared" si="92"/>
        <v>104.99000000000001</v>
      </c>
      <c r="AB69" s="16"/>
      <c r="AC69" s="16"/>
    </row>
    <row r="70" spans="1:33" s="20" customFormat="1" x14ac:dyDescent="0.25">
      <c r="A70" s="29">
        <v>8</v>
      </c>
      <c r="B70" s="41">
        <f t="shared" si="93"/>
        <v>945</v>
      </c>
      <c r="C70" s="25">
        <f t="shared" si="94"/>
        <v>1347.61</v>
      </c>
      <c r="D70" s="25">
        <f t="shared" si="86"/>
        <v>1349.61</v>
      </c>
      <c r="E70" s="25">
        <f t="shared" si="86"/>
        <v>1349.72</v>
      </c>
      <c r="F70" s="25">
        <f t="shared" si="86"/>
        <v>1354.25</v>
      </c>
      <c r="G70" s="48">
        <f t="shared" si="87"/>
        <v>1350.2974999999999</v>
      </c>
      <c r="H70" s="25">
        <f t="shared" si="95"/>
        <v>733.78000000000009</v>
      </c>
      <c r="I70" s="25">
        <f t="shared" si="88"/>
        <v>735.78000000000009</v>
      </c>
      <c r="J70" s="25">
        <f t="shared" si="88"/>
        <v>735.8900000000001</v>
      </c>
      <c r="K70" s="25">
        <f t="shared" si="88"/>
        <v>740.42000000000007</v>
      </c>
      <c r="L70" s="47">
        <f t="shared" si="89"/>
        <v>736.46750000000009</v>
      </c>
      <c r="M70" s="16">
        <f t="shared" si="96"/>
        <v>155.70999999999998</v>
      </c>
      <c r="N70" s="16">
        <f t="shared" si="97"/>
        <v>172.53</v>
      </c>
      <c r="O70" s="16">
        <f t="shared" si="98"/>
        <v>173.38000000000005</v>
      </c>
      <c r="P70" s="16">
        <f t="shared" si="99"/>
        <v>210.29999999999995</v>
      </c>
      <c r="Q70" s="8">
        <f t="shared" si="90"/>
        <v>177.98000000000002</v>
      </c>
      <c r="R70" s="16">
        <f t="shared" si="100"/>
        <v>125.84</v>
      </c>
      <c r="S70" s="16">
        <f t="shared" si="101"/>
        <v>134</v>
      </c>
      <c r="T70" s="16">
        <f t="shared" si="102"/>
        <v>149.12</v>
      </c>
      <c r="U70" s="16">
        <f t="shared" si="103"/>
        <v>179.09999999999997</v>
      </c>
      <c r="V70" s="8">
        <f t="shared" si="91"/>
        <v>147.01499999999999</v>
      </c>
      <c r="W70" s="16">
        <f t="shared" si="104"/>
        <v>92.64</v>
      </c>
      <c r="X70" s="16">
        <f t="shared" si="105"/>
        <v>110.22</v>
      </c>
      <c r="Y70" s="16">
        <f t="shared" si="106"/>
        <v>124.66</v>
      </c>
      <c r="Z70" s="16">
        <f t="shared" si="107"/>
        <v>143.19</v>
      </c>
      <c r="AA70" s="8">
        <f t="shared" si="92"/>
        <v>117.67749999999999</v>
      </c>
      <c r="AB70" s="16"/>
      <c r="AC70" s="16"/>
    </row>
    <row r="71" spans="1:33" s="26" customFormat="1" x14ac:dyDescent="0.25"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33" s="20" customFormat="1" x14ac:dyDescent="0.25"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spans="1:33" s="20" customFormat="1" x14ac:dyDescent="0.25">
      <c r="E73" s="26"/>
      <c r="F73" s="26"/>
      <c r="G73" s="26"/>
      <c r="H73" s="26"/>
      <c r="I73" s="26"/>
      <c r="J73" s="26"/>
      <c r="K73" s="26"/>
      <c r="L73" s="24"/>
      <c r="M73" s="24"/>
      <c r="N73" s="24"/>
      <c r="O73" s="24"/>
      <c r="P73" s="24"/>
      <c r="Q73" s="24"/>
      <c r="R73" s="24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spans="1:33" x14ac:dyDescent="0.25">
      <c r="A74" s="2"/>
      <c r="E74" s="26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3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x14ac:dyDescent="0.25">
      <c r="E75" s="26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26"/>
    </row>
    <row r="76" spans="1:33" x14ac:dyDescent="0.25">
      <c r="E76" s="26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6"/>
    </row>
    <row r="77" spans="1:33" x14ac:dyDescent="0.25">
      <c r="E77" s="26"/>
      <c r="F77" s="26"/>
      <c r="G77" s="26"/>
      <c r="H77" s="24"/>
      <c r="I77" s="26"/>
      <c r="J77" s="24"/>
      <c r="K77" s="26"/>
      <c r="L77" s="24"/>
      <c r="M77" s="24"/>
      <c r="N77" s="24"/>
      <c r="O77" s="26"/>
      <c r="P77" s="26"/>
      <c r="Q77" s="24"/>
      <c r="R77" s="26"/>
    </row>
    <row r="78" spans="1:33" x14ac:dyDescent="0.25">
      <c r="E78" s="26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6"/>
    </row>
    <row r="79" spans="1:33" x14ac:dyDescent="0.25">
      <c r="E79" s="26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6"/>
    </row>
    <row r="80" spans="1:33" x14ac:dyDescent="0.25">
      <c r="E80" s="26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6"/>
    </row>
    <row r="81" spans="5:18" x14ac:dyDescent="0.25">
      <c r="E81" s="26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6"/>
    </row>
    <row r="82" spans="5:18" x14ac:dyDescent="0.25">
      <c r="E82" s="26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6"/>
    </row>
    <row r="83" spans="5:18" x14ac:dyDescent="0.25">
      <c r="E83" s="26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6"/>
    </row>
    <row r="84" spans="5:18" x14ac:dyDescent="0.25">
      <c r="E84" s="26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6"/>
    </row>
    <row r="85" spans="5:18" x14ac:dyDescent="0.25"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</row>
    <row r="86" spans="5:18" x14ac:dyDescent="0.25"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</sheetData>
  <mergeCells count="63">
    <mergeCell ref="A26:A29"/>
    <mergeCell ref="B26:V26"/>
    <mergeCell ref="B27:B29"/>
    <mergeCell ref="C27:F27"/>
    <mergeCell ref="G27:J27"/>
    <mergeCell ref="C28:C29"/>
    <mergeCell ref="D28:D29"/>
    <mergeCell ref="E28:E29"/>
    <mergeCell ref="F28:F29"/>
    <mergeCell ref="K29:N29"/>
    <mergeCell ref="O29:R29"/>
    <mergeCell ref="S29:V29"/>
    <mergeCell ref="G28:G29"/>
    <mergeCell ref="H28:H29"/>
    <mergeCell ref="N4:P4"/>
    <mergeCell ref="I28:I29"/>
    <mergeCell ref="Q4:S4"/>
    <mergeCell ref="T4:V4"/>
    <mergeCell ref="K6:M6"/>
    <mergeCell ref="N6:P6"/>
    <mergeCell ref="Q6:S6"/>
    <mergeCell ref="T6:V6"/>
    <mergeCell ref="J28:J29"/>
    <mergeCell ref="B50:C50"/>
    <mergeCell ref="B2:V2"/>
    <mergeCell ref="D4:D5"/>
    <mergeCell ref="A2:A5"/>
    <mergeCell ref="B3:B5"/>
    <mergeCell ref="J4:J5"/>
    <mergeCell ref="C3:F3"/>
    <mergeCell ref="G3:J3"/>
    <mergeCell ref="K3:V3"/>
    <mergeCell ref="C4:C5"/>
    <mergeCell ref="E4:E5"/>
    <mergeCell ref="F4:F5"/>
    <mergeCell ref="G4:G5"/>
    <mergeCell ref="H4:H5"/>
    <mergeCell ref="I4:I5"/>
    <mergeCell ref="K4:M4"/>
    <mergeCell ref="A60:C60"/>
    <mergeCell ref="L51:O51"/>
    <mergeCell ref="J51:J52"/>
    <mergeCell ref="K51:K52"/>
    <mergeCell ref="T51:T52"/>
    <mergeCell ref="P51:S51"/>
    <mergeCell ref="E51:H51"/>
    <mergeCell ref="E54:H54"/>
    <mergeCell ref="A51:A52"/>
    <mergeCell ref="B51:B52"/>
    <mergeCell ref="C51:C52"/>
    <mergeCell ref="D51:D52"/>
    <mergeCell ref="K50:L50"/>
    <mergeCell ref="M61:P61"/>
    <mergeCell ref="Q61:Q62"/>
    <mergeCell ref="N75:Q75"/>
    <mergeCell ref="B61:B62"/>
    <mergeCell ref="A61:A62"/>
    <mergeCell ref="C61:F61"/>
    <mergeCell ref="H61:K61"/>
    <mergeCell ref="G61:G62"/>
    <mergeCell ref="L61:L62"/>
    <mergeCell ref="F75:I75"/>
    <mergeCell ref="J75:M75"/>
  </mergeCells>
  <phoneticPr fontId="2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user20427</dc:creator>
  <cp:lastModifiedBy>user20427</cp:lastModifiedBy>
  <dcterms:created xsi:type="dcterms:W3CDTF">2023-02-06T08:16:13Z</dcterms:created>
  <dcterms:modified xsi:type="dcterms:W3CDTF">2023-05-05T00:20:07Z</dcterms:modified>
</cp:coreProperties>
</file>