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ng\"/>
    </mc:Choice>
  </mc:AlternateContent>
  <xr:revisionPtr revIDLastSave="0" documentId="13_ncr:1_{0FEE31EE-191F-4CE7-9021-CF71518DA48E}" xr6:coauthVersionLast="36" xr6:coauthVersionMax="36" xr10:uidLastSave="{00000000-0000-0000-0000-000000000000}"/>
  <bookViews>
    <workbookView xWindow="0" yWindow="0" windowWidth="7632" windowHeight="1872" xr2:uid="{02D3781E-30A8-4E62-9F0F-DCEA16905A73}"/>
  </bookViews>
  <sheets>
    <sheet name="source_model &amp; all_similarit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D12" i="1"/>
  <c r="C12" i="1"/>
  <c r="B12" i="1"/>
  <c r="O12" i="1" l="1"/>
  <c r="N12" i="1"/>
  <c r="M12" i="1"/>
  <c r="L12" i="1"/>
  <c r="J12" i="1"/>
  <c r="I12" i="1"/>
  <c r="H12" i="1"/>
  <c r="G12" i="1"/>
</calcChain>
</file>

<file path=xl/sharedStrings.xml><?xml version="1.0" encoding="utf-8"?>
<sst xmlns="http://schemas.openxmlformats.org/spreadsheetml/2006/main" count="356" uniqueCount="48">
  <si>
    <t>layer 5</t>
  </si>
  <si>
    <t>banana</t>
  </si>
  <si>
    <t>guava</t>
  </si>
  <si>
    <t>muskmelon</t>
  </si>
  <si>
    <t>peach</t>
  </si>
  <si>
    <t>pear</t>
  </si>
  <si>
    <t>tomato</t>
  </si>
  <si>
    <t>carabola</t>
  </si>
  <si>
    <t>source</t>
    <phoneticPr fontId="1" type="noConversion"/>
  </si>
  <si>
    <t>avg</t>
    <phoneticPr fontId="1" type="noConversion"/>
  </si>
  <si>
    <t>apple</t>
    <phoneticPr fontId="1" type="noConversion"/>
  </si>
  <si>
    <t>carambola</t>
    <phoneticPr fontId="1" type="noConversion"/>
  </si>
  <si>
    <t>guava</t>
    <phoneticPr fontId="1" type="noConversion"/>
  </si>
  <si>
    <t>muskmelon</t>
    <phoneticPr fontId="1" type="noConversion"/>
  </si>
  <si>
    <t>peach</t>
    <phoneticPr fontId="1" type="noConversion"/>
  </si>
  <si>
    <t>pear</t>
    <phoneticPr fontId="1" type="noConversion"/>
  </si>
  <si>
    <t>tomato</t>
    <phoneticPr fontId="1" type="noConversion"/>
  </si>
  <si>
    <t>layer 6</t>
  </si>
  <si>
    <t>layer 7</t>
  </si>
  <si>
    <t>layer 8</t>
  </si>
  <si>
    <t>Epoch = 150</t>
    <phoneticPr fontId="1" type="noConversion"/>
  </si>
  <si>
    <t>Epoch = 100</t>
    <phoneticPr fontId="1" type="noConversion"/>
  </si>
  <si>
    <t>Epoch = 50</t>
    <phoneticPr fontId="1" type="noConversion"/>
  </si>
  <si>
    <t>positive</t>
    <phoneticPr fontId="1" type="noConversion"/>
  </si>
  <si>
    <t>nagative</t>
    <phoneticPr fontId="1" type="noConversion"/>
  </si>
  <si>
    <t>positive</t>
    <phoneticPr fontId="1" type="noConversion"/>
  </si>
  <si>
    <t>nagative</t>
    <phoneticPr fontId="1" type="noConversion"/>
  </si>
  <si>
    <t>apple_to_</t>
    <phoneticPr fontId="1" type="noConversion"/>
  </si>
  <si>
    <t>banana_to_</t>
    <phoneticPr fontId="1" type="noConversion"/>
  </si>
  <si>
    <t>carambola_to_</t>
    <phoneticPr fontId="1" type="noConversion"/>
  </si>
  <si>
    <t>guava_to_</t>
    <phoneticPr fontId="1" type="noConversion"/>
  </si>
  <si>
    <t>muskmelon_to_</t>
    <phoneticPr fontId="1" type="noConversion"/>
  </si>
  <si>
    <t>peach_to_</t>
    <phoneticPr fontId="1" type="noConversion"/>
  </si>
  <si>
    <t>pear_to_</t>
    <phoneticPr fontId="1" type="noConversion"/>
  </si>
  <si>
    <t>tomato_to_</t>
    <phoneticPr fontId="1" type="noConversion"/>
  </si>
  <si>
    <t>similarity score (1900)</t>
    <phoneticPr fontId="1" type="noConversion"/>
  </si>
  <si>
    <t>layer 5</t>
    <phoneticPr fontId="1" type="noConversion"/>
  </si>
  <si>
    <t>layer 6</t>
    <phoneticPr fontId="1" type="noConversion"/>
  </si>
  <si>
    <t>layer 7</t>
    <phoneticPr fontId="1" type="noConversion"/>
  </si>
  <si>
    <t>layer 8</t>
    <phoneticPr fontId="1" type="noConversion"/>
  </si>
  <si>
    <t>layer 5</t>
    <phoneticPr fontId="1" type="noConversion"/>
  </si>
  <si>
    <t>apple_to_</t>
    <phoneticPr fontId="1" type="noConversion"/>
  </si>
  <si>
    <t>positive</t>
  </si>
  <si>
    <t>nagative</t>
  </si>
  <si>
    <t>apple</t>
  </si>
  <si>
    <t>layer 6</t>
    <phoneticPr fontId="1" type="noConversion"/>
  </si>
  <si>
    <t>layer 7</t>
    <phoneticPr fontId="1" type="noConversion"/>
  </si>
  <si>
    <t>layer 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</si>
</sst>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u/>
      <sz val="12"/>
      <name val="新細明體"/>
      <family val="1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8">
    <xf numFmtId="0" fontId="0" fillId="0" borderId="0" xfId="0">
      <alignment vertical="center"/>
    </xf>
    <xf numFmtId="0" fontId="3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left" vertical="center"/>
    </xf>
    <xf numFmtId="2" fontId="2" fillId="11" borderId="7" xfId="0" applyNumberFormat="1" applyFont="1" applyFill="1" applyBorder="1" applyAlignment="1">
      <alignment horizontal="left" vertical="center"/>
    </xf>
    <xf numFmtId="2" fontId="2" fillId="11" borderId="15" xfId="0" applyNumberFormat="1" applyFont="1" applyFill="1" applyBorder="1" applyAlignment="1">
      <alignment horizontal="left" vertical="center"/>
    </xf>
    <xf numFmtId="2" fontId="3" fillId="0" borderId="15" xfId="0" applyNumberFormat="1" applyFont="1" applyBorder="1" applyAlignment="1">
      <alignment horizontal="left" vertical="center"/>
    </xf>
    <xf numFmtId="2" fontId="3" fillId="0" borderId="12" xfId="0" applyNumberFormat="1" applyFont="1" applyBorder="1" applyAlignment="1">
      <alignment horizontal="left" vertical="center"/>
    </xf>
    <xf numFmtId="2" fontId="3" fillId="5" borderId="14" xfId="0" applyNumberFormat="1" applyFont="1" applyFill="1" applyBorder="1" applyAlignment="1">
      <alignment horizontal="left" vertical="center"/>
    </xf>
    <xf numFmtId="2" fontId="3" fillId="7" borderId="14" xfId="0" applyNumberFormat="1" applyFont="1" applyFill="1" applyBorder="1" applyAlignment="1">
      <alignment horizontal="left" vertical="center"/>
    </xf>
    <xf numFmtId="2" fontId="3" fillId="9" borderId="14" xfId="0" applyNumberFormat="1" applyFont="1" applyFill="1" applyBorder="1" applyAlignment="1">
      <alignment horizontal="left" vertical="center"/>
    </xf>
    <xf numFmtId="2" fontId="2" fillId="11" borderId="12" xfId="0" applyNumberFormat="1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2" fontId="3" fillId="0" borderId="16" xfId="0" applyNumberFormat="1" applyFont="1" applyBorder="1" applyAlignment="1">
      <alignment horizontal="left" vertical="center"/>
    </xf>
    <xf numFmtId="2" fontId="3" fillId="0" borderId="10" xfId="0" applyNumberFormat="1" applyFont="1" applyBorder="1" applyAlignment="1">
      <alignment horizontal="left" vertical="center"/>
    </xf>
    <xf numFmtId="2" fontId="3" fillId="0" borderId="17" xfId="0" applyNumberFormat="1" applyFont="1" applyBorder="1" applyAlignment="1">
      <alignment horizontal="left" vertical="center"/>
    </xf>
    <xf numFmtId="2" fontId="4" fillId="3" borderId="15" xfId="0" applyNumberFormat="1" applyFont="1" applyFill="1" applyBorder="1" applyAlignment="1">
      <alignment horizontal="center" vertical="center"/>
    </xf>
    <xf numFmtId="2" fontId="4" fillId="4" borderId="15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2" fontId="4" fillId="6" borderId="15" xfId="0" applyNumberFormat="1" applyFont="1" applyFill="1" applyBorder="1" applyAlignment="1">
      <alignment horizontal="center" vertical="center"/>
    </xf>
    <xf numFmtId="2" fontId="4" fillId="7" borderId="15" xfId="0" applyNumberFormat="1" applyFont="1" applyFill="1" applyBorder="1" applyAlignment="1">
      <alignment horizontal="center" vertical="center"/>
    </xf>
    <xf numFmtId="2" fontId="4" fillId="8" borderId="15" xfId="0" applyNumberFormat="1" applyFont="1" applyFill="1" applyBorder="1" applyAlignment="1">
      <alignment horizontal="center" vertical="center"/>
    </xf>
    <xf numFmtId="2" fontId="4" fillId="9" borderId="15" xfId="0" applyNumberFormat="1" applyFont="1" applyFill="1" applyBorder="1" applyAlignment="1">
      <alignment horizontal="center" vertical="center"/>
    </xf>
    <xf numFmtId="2" fontId="4" fillId="10" borderId="15" xfId="0" applyNumberFormat="1" applyFont="1" applyFill="1" applyBorder="1" applyAlignment="1">
      <alignment horizontal="center" vertical="center"/>
    </xf>
    <xf numFmtId="2" fontId="2" fillId="11" borderId="5" xfId="0" applyNumberFormat="1" applyFont="1" applyFill="1" applyBorder="1" applyAlignment="1">
      <alignment horizontal="left" vertical="center"/>
    </xf>
    <xf numFmtId="2" fontId="3" fillId="0" borderId="5" xfId="0" applyNumberFormat="1" applyFont="1" applyBorder="1" applyAlignment="1">
      <alignment horizontal="left" vertical="center"/>
    </xf>
    <xf numFmtId="2" fontId="3" fillId="0" borderId="23" xfId="0" applyNumberFormat="1" applyFont="1" applyBorder="1" applyAlignment="1">
      <alignment horizontal="left" vertical="center"/>
    </xf>
    <xf numFmtId="2" fontId="3" fillId="0" borderId="3" xfId="0" applyNumberFormat="1" applyFont="1" applyBorder="1" applyAlignment="1">
      <alignment horizontal="left" vertical="center"/>
    </xf>
    <xf numFmtId="2" fontId="3" fillId="5" borderId="22" xfId="0" applyNumberFormat="1" applyFont="1" applyFill="1" applyBorder="1" applyAlignment="1">
      <alignment horizontal="left" vertical="center"/>
    </xf>
    <xf numFmtId="2" fontId="3" fillId="7" borderId="22" xfId="0" applyNumberFormat="1" applyFont="1" applyFill="1" applyBorder="1" applyAlignment="1">
      <alignment horizontal="left" vertical="center"/>
    </xf>
    <xf numFmtId="2" fontId="3" fillId="9" borderId="22" xfId="0" applyNumberFormat="1" applyFont="1" applyFill="1" applyBorder="1" applyAlignment="1">
      <alignment horizontal="left" vertical="center"/>
    </xf>
    <xf numFmtId="2" fontId="2" fillId="11" borderId="17" xfId="0" applyNumberFormat="1" applyFont="1" applyFill="1" applyBorder="1" applyAlignment="1">
      <alignment horizontal="left" vertical="center"/>
    </xf>
    <xf numFmtId="2" fontId="2" fillId="11" borderId="23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2" fontId="4" fillId="0" borderId="5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left" vertical="center"/>
    </xf>
    <xf numFmtId="2" fontId="2" fillId="11" borderId="6" xfId="0" applyNumberFormat="1" applyFont="1" applyFill="1" applyBorder="1" applyAlignment="1">
      <alignment horizontal="left" vertical="center"/>
    </xf>
    <xf numFmtId="2" fontId="2" fillId="11" borderId="8" xfId="0" applyNumberFormat="1" applyFont="1" applyFill="1" applyBorder="1" applyAlignment="1">
      <alignment horizontal="left" vertical="center"/>
    </xf>
    <xf numFmtId="2" fontId="2" fillId="11" borderId="4" xfId="0" applyNumberFormat="1" applyFont="1" applyFill="1" applyBorder="1" applyAlignment="1">
      <alignment horizontal="left" vertical="center"/>
    </xf>
    <xf numFmtId="2" fontId="3" fillId="3" borderId="9" xfId="0" applyNumberFormat="1" applyFont="1" applyFill="1" applyBorder="1" applyAlignment="1">
      <alignment horizontal="left" vertical="center"/>
    </xf>
    <xf numFmtId="2" fontId="3" fillId="3" borderId="2" xfId="0" applyNumberFormat="1" applyFont="1" applyFill="1" applyBorder="1" applyAlignment="1">
      <alignment horizontal="left" vertical="center"/>
    </xf>
    <xf numFmtId="2" fontId="3" fillId="0" borderId="6" xfId="0" applyNumberFormat="1" applyFont="1" applyFill="1" applyBorder="1" applyAlignment="1">
      <alignment horizontal="left" vertical="center"/>
    </xf>
    <xf numFmtId="2" fontId="3" fillId="0" borderId="8" xfId="0" applyNumberFormat="1" applyFont="1" applyFill="1" applyBorder="1" applyAlignment="1">
      <alignment horizontal="left" vertical="center"/>
    </xf>
    <xf numFmtId="2" fontId="3" fillId="0" borderId="4" xfId="0" applyNumberFormat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2" fontId="3" fillId="4" borderId="14" xfId="0" applyNumberFormat="1" applyFont="1" applyFill="1" applyBorder="1" applyAlignment="1">
      <alignment horizontal="left" vertical="center"/>
    </xf>
    <xf numFmtId="2" fontId="3" fillId="4" borderId="22" xfId="0" applyNumberFormat="1" applyFont="1" applyFill="1" applyBorder="1" applyAlignment="1">
      <alignment horizontal="left" vertical="center"/>
    </xf>
    <xf numFmtId="2" fontId="3" fillId="4" borderId="9" xfId="0" applyNumberFormat="1" applyFont="1" applyFill="1" applyBorder="1" applyAlignment="1">
      <alignment horizontal="left" vertical="center"/>
    </xf>
    <xf numFmtId="2" fontId="3" fillId="4" borderId="2" xfId="0" applyNumberFormat="1" applyFont="1" applyFill="1" applyBorder="1" applyAlignment="1">
      <alignment horizontal="left" vertical="center"/>
    </xf>
    <xf numFmtId="2" fontId="3" fillId="5" borderId="9" xfId="0" applyNumberFormat="1" applyFont="1" applyFill="1" applyBorder="1" applyAlignment="1">
      <alignment horizontal="left" vertical="center"/>
    </xf>
    <xf numFmtId="2" fontId="3" fillId="5" borderId="2" xfId="0" applyNumberFormat="1" applyFont="1" applyFill="1" applyBorder="1" applyAlignment="1">
      <alignment horizontal="left" vertical="center"/>
    </xf>
    <xf numFmtId="2" fontId="3" fillId="6" borderId="14" xfId="0" applyNumberFormat="1" applyFont="1" applyFill="1" applyBorder="1" applyAlignment="1">
      <alignment horizontal="left" vertical="center"/>
    </xf>
    <xf numFmtId="2" fontId="3" fillId="6" borderId="22" xfId="0" applyNumberFormat="1" applyFont="1" applyFill="1" applyBorder="1" applyAlignment="1">
      <alignment horizontal="left" vertical="center"/>
    </xf>
    <xf numFmtId="2" fontId="3" fillId="6" borderId="9" xfId="0" applyNumberFormat="1" applyFont="1" applyFill="1" applyBorder="1" applyAlignment="1">
      <alignment horizontal="left" vertical="center"/>
    </xf>
    <xf numFmtId="2" fontId="3" fillId="6" borderId="2" xfId="0" applyNumberFormat="1" applyFont="1" applyFill="1" applyBorder="1" applyAlignment="1">
      <alignment horizontal="left" vertical="center"/>
    </xf>
    <xf numFmtId="2" fontId="3" fillId="7" borderId="9" xfId="0" applyNumberFormat="1" applyFont="1" applyFill="1" applyBorder="1" applyAlignment="1">
      <alignment horizontal="left" vertical="center"/>
    </xf>
    <xf numFmtId="2" fontId="3" fillId="7" borderId="2" xfId="0" applyNumberFormat="1" applyFont="1" applyFill="1" applyBorder="1" applyAlignment="1">
      <alignment horizontal="left" vertical="center"/>
    </xf>
    <xf numFmtId="2" fontId="3" fillId="8" borderId="14" xfId="0" applyNumberFormat="1" applyFont="1" applyFill="1" applyBorder="1" applyAlignment="1">
      <alignment horizontal="left" vertical="center"/>
    </xf>
    <xf numFmtId="2" fontId="3" fillId="8" borderId="22" xfId="0" applyNumberFormat="1" applyFont="1" applyFill="1" applyBorder="1" applyAlignment="1">
      <alignment horizontal="left" vertical="center"/>
    </xf>
    <xf numFmtId="2" fontId="3" fillId="8" borderId="9" xfId="0" applyNumberFormat="1" applyFont="1" applyFill="1" applyBorder="1" applyAlignment="1">
      <alignment horizontal="left" vertical="center"/>
    </xf>
    <xf numFmtId="2" fontId="3" fillId="8" borderId="2" xfId="0" applyNumberFormat="1" applyFont="1" applyFill="1" applyBorder="1" applyAlignment="1">
      <alignment horizontal="left" vertical="center"/>
    </xf>
    <xf numFmtId="2" fontId="3" fillId="9" borderId="9" xfId="0" applyNumberFormat="1" applyFont="1" applyFill="1" applyBorder="1" applyAlignment="1">
      <alignment horizontal="left" vertical="center"/>
    </xf>
    <xf numFmtId="2" fontId="3" fillId="9" borderId="2" xfId="0" applyNumberFormat="1" applyFont="1" applyFill="1" applyBorder="1" applyAlignment="1">
      <alignment horizontal="left" vertical="center"/>
    </xf>
    <xf numFmtId="2" fontId="3" fillId="10" borderId="14" xfId="0" applyNumberFormat="1" applyFont="1" applyFill="1" applyBorder="1" applyAlignment="1">
      <alignment horizontal="left" vertical="center"/>
    </xf>
    <xf numFmtId="2" fontId="3" fillId="10" borderId="22" xfId="0" applyNumberFormat="1" applyFont="1" applyFill="1" applyBorder="1" applyAlignment="1">
      <alignment horizontal="left" vertical="center"/>
    </xf>
    <xf numFmtId="2" fontId="3" fillId="10" borderId="9" xfId="0" applyNumberFormat="1" applyFont="1" applyFill="1" applyBorder="1" applyAlignment="1">
      <alignment horizontal="left" vertical="center"/>
    </xf>
    <xf numFmtId="2" fontId="3" fillId="10" borderId="2" xfId="0" applyNumberFormat="1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2" fontId="3" fillId="0" borderId="13" xfId="0" applyNumberFormat="1" applyFont="1" applyFill="1" applyBorder="1" applyAlignment="1">
      <alignment horizontal="left" vertical="center"/>
    </xf>
    <xf numFmtId="2" fontId="3" fillId="0" borderId="14" xfId="0" applyNumberFormat="1" applyFont="1" applyFill="1" applyBorder="1" applyAlignment="1">
      <alignment horizontal="left" vertical="center"/>
    </xf>
    <xf numFmtId="2" fontId="3" fillId="0" borderId="22" xfId="0" applyNumberFormat="1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2" fontId="3" fillId="0" borderId="9" xfId="0" applyNumberFormat="1" applyFont="1" applyFill="1" applyBorder="1" applyAlignment="1">
      <alignment horizontal="left" vertical="center"/>
    </xf>
    <xf numFmtId="2" fontId="3" fillId="0" borderId="2" xfId="0" applyNumberFormat="1" applyFont="1" applyFill="1" applyBorder="1" applyAlignment="1">
      <alignment horizontal="left" vertical="center"/>
    </xf>
    <xf numFmtId="2" fontId="3" fillId="0" borderId="15" xfId="0" applyNumberFormat="1" applyFont="1" applyFill="1" applyBorder="1" applyAlignment="1">
      <alignment horizontal="left" vertical="center"/>
    </xf>
    <xf numFmtId="2" fontId="3" fillId="0" borderId="7" xfId="0" applyNumberFormat="1" applyFont="1" applyFill="1" applyBorder="1" applyAlignment="1">
      <alignment horizontal="left" vertical="center"/>
    </xf>
    <xf numFmtId="2" fontId="3" fillId="0" borderId="5" xfId="0" applyNumberFormat="1" applyFont="1" applyFill="1" applyBorder="1" applyAlignment="1">
      <alignment horizontal="left" vertical="center"/>
    </xf>
    <xf numFmtId="2" fontId="3" fillId="0" borderId="17" xfId="0" applyNumberFormat="1" applyFont="1" applyFill="1" applyBorder="1" applyAlignment="1">
      <alignment horizontal="left" vertical="center"/>
    </xf>
    <xf numFmtId="2" fontId="3" fillId="0" borderId="12" xfId="0" applyNumberFormat="1" applyFont="1" applyFill="1" applyBorder="1" applyAlignment="1">
      <alignment horizontal="left" vertical="center"/>
    </xf>
    <xf numFmtId="2" fontId="3" fillId="0" borderId="23" xfId="0" applyNumberFormat="1" applyFont="1" applyFill="1" applyBorder="1" applyAlignment="1">
      <alignment horizontal="left" vertical="center"/>
    </xf>
    <xf numFmtId="2" fontId="3" fillId="0" borderId="16" xfId="0" applyNumberFormat="1" applyFont="1" applyFill="1" applyBorder="1" applyAlignment="1">
      <alignment horizontal="left" vertical="center"/>
    </xf>
    <xf numFmtId="2" fontId="3" fillId="0" borderId="10" xfId="0" applyNumberFormat="1" applyFont="1" applyFill="1" applyBorder="1" applyAlignment="1">
      <alignment horizontal="left" vertical="center"/>
    </xf>
    <xf numFmtId="2" fontId="3" fillId="0" borderId="3" xfId="0" applyNumberFormat="1" applyFont="1" applyFill="1" applyBorder="1" applyAlignment="1">
      <alignment horizontal="left" vertical="center"/>
    </xf>
    <xf numFmtId="2" fontId="2" fillId="0" borderId="15" xfId="0" applyNumberFormat="1" applyFont="1" applyFill="1" applyBorder="1" applyAlignment="1">
      <alignment horizontal="left" vertical="center"/>
    </xf>
    <xf numFmtId="2" fontId="2" fillId="0" borderId="7" xfId="0" applyNumberFormat="1" applyFont="1" applyFill="1" applyBorder="1" applyAlignment="1">
      <alignment horizontal="left" vertical="center"/>
    </xf>
    <xf numFmtId="2" fontId="2" fillId="0" borderId="5" xfId="0" applyNumberFormat="1" applyFont="1" applyFill="1" applyBorder="1" applyAlignment="1">
      <alignment horizontal="left" vertical="center"/>
    </xf>
    <xf numFmtId="2" fontId="2" fillId="0" borderId="17" xfId="0" applyNumberFormat="1" applyFont="1" applyFill="1" applyBorder="1" applyAlignment="1">
      <alignment horizontal="left" vertical="center"/>
    </xf>
    <xf numFmtId="2" fontId="2" fillId="0" borderId="12" xfId="0" applyNumberFormat="1" applyFont="1" applyFill="1" applyBorder="1" applyAlignment="1">
      <alignment horizontal="left" vertical="center"/>
    </xf>
    <xf numFmtId="2" fontId="2" fillId="0" borderId="23" xfId="0" applyNumberFormat="1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2" fontId="3" fillId="3" borderId="35" xfId="0" applyNumberFormat="1" applyFont="1" applyFill="1" applyBorder="1" applyAlignment="1">
      <alignment horizontal="left" vertical="center"/>
    </xf>
    <xf numFmtId="2" fontId="3" fillId="3" borderId="34" xfId="0" applyNumberFormat="1" applyFont="1" applyFill="1" applyBorder="1" applyAlignment="1">
      <alignment horizontal="left" vertical="center"/>
    </xf>
    <xf numFmtId="2" fontId="3" fillId="3" borderId="33" xfId="0" applyNumberFormat="1" applyFont="1" applyFill="1" applyBorder="1" applyAlignment="1">
      <alignment horizontal="left" vertical="center"/>
    </xf>
    <xf numFmtId="2" fontId="5" fillId="0" borderId="13" xfId="0" applyNumberFormat="1" applyFont="1" applyFill="1" applyBorder="1" applyAlignment="1">
      <alignment horizontal="center" vertical="center"/>
    </xf>
    <xf numFmtId="2" fontId="5" fillId="0" borderId="14" xfId="0" applyNumberFormat="1" applyFont="1" applyFill="1" applyBorder="1" applyAlignment="1">
      <alignment horizontal="center" vertical="center"/>
    </xf>
    <xf numFmtId="2" fontId="5" fillId="0" borderId="22" xfId="0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2" fontId="4" fillId="0" borderId="15" xfId="0" applyNumberFormat="1" applyFont="1" applyFill="1" applyBorder="1" applyAlignment="1">
      <alignment horizontal="center" vertical="center"/>
    </xf>
    <xf numFmtId="2" fontId="4" fillId="0" borderId="7" xfId="0" applyNumberFormat="1" applyFont="1" applyFill="1" applyBorder="1" applyAlignment="1">
      <alignment horizontal="center" vertical="center"/>
    </xf>
    <xf numFmtId="2" fontId="4" fillId="0" borderId="5" xfId="0" applyNumberFormat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2" fontId="3" fillId="0" borderId="15" xfId="0" applyNumberFormat="1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2" fontId="4" fillId="0" borderId="7" xfId="0" applyNumberFormat="1" applyFont="1" applyFill="1" applyBorder="1" applyAlignment="1">
      <alignment horizontal="left" vertical="center"/>
    </xf>
    <xf numFmtId="2" fontId="4" fillId="0" borderId="5" xfId="0" applyNumberFormat="1" applyFont="1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2" fontId="3" fillId="0" borderId="27" xfId="0" applyNumberFormat="1" applyFont="1" applyBorder="1" applyAlignment="1">
      <alignment horizontal="left" vertical="center"/>
    </xf>
    <xf numFmtId="2" fontId="3" fillId="0" borderId="31" xfId="0" applyNumberFormat="1" applyFont="1" applyBorder="1" applyAlignment="1">
      <alignment horizontal="left" vertical="center"/>
    </xf>
    <xf numFmtId="2" fontId="3" fillId="0" borderId="0" xfId="0" applyNumberFormat="1" applyFont="1" applyBorder="1" applyAlignment="1">
      <alignment horizontal="left" vertical="center"/>
    </xf>
    <xf numFmtId="2" fontId="3" fillId="0" borderId="32" xfId="0" applyNumberFormat="1" applyFont="1" applyBorder="1" applyAlignment="1">
      <alignment horizontal="left" vertical="center"/>
    </xf>
    <xf numFmtId="2" fontId="3" fillId="0" borderId="28" xfId="0" applyNumberFormat="1" applyFont="1" applyBorder="1" applyAlignment="1">
      <alignment horizontal="left" vertical="center"/>
    </xf>
    <xf numFmtId="2" fontId="3" fillId="0" borderId="29" xfId="0" applyNumberFormat="1" applyFont="1" applyBorder="1" applyAlignment="1">
      <alignment horizontal="left" vertical="center"/>
    </xf>
    <xf numFmtId="2" fontId="3" fillId="0" borderId="27" xfId="0" applyNumberFormat="1" applyFont="1" applyFill="1" applyBorder="1" applyAlignment="1">
      <alignment horizontal="left" vertical="center"/>
    </xf>
    <xf numFmtId="2" fontId="3" fillId="0" borderId="28" xfId="0" applyNumberFormat="1" applyFont="1" applyFill="1" applyBorder="1" applyAlignment="1">
      <alignment horizontal="left" vertical="center"/>
    </xf>
    <xf numFmtId="2" fontId="3" fillId="0" borderId="29" xfId="0" applyNumberFormat="1" applyFont="1" applyFill="1" applyBorder="1" applyAlignment="1">
      <alignment horizontal="left" vertical="center"/>
    </xf>
    <xf numFmtId="0" fontId="0" fillId="0" borderId="30" xfId="0" applyFill="1" applyBorder="1" applyAlignment="1">
      <alignment horizontal="left" vertical="center"/>
    </xf>
    <xf numFmtId="0" fontId="0" fillId="0" borderId="28" xfId="0" applyFill="1" applyBorder="1" applyAlignment="1">
      <alignment horizontal="left" vertical="center"/>
    </xf>
    <xf numFmtId="0" fontId="4" fillId="0" borderId="28" xfId="0" applyFont="1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24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19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21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5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2" fontId="6" fillId="0" borderId="15" xfId="0" applyNumberFormat="1" applyFont="1" applyFill="1" applyBorder="1" applyAlignment="1">
      <alignment horizontal="center" vertical="center"/>
    </xf>
    <xf numFmtId="2" fontId="6" fillId="0" borderId="7" xfId="0" applyNumberFormat="1" applyFont="1" applyFill="1" applyBorder="1" applyAlignment="1">
      <alignment horizontal="center" vertical="center"/>
    </xf>
    <xf numFmtId="2" fontId="6" fillId="0" borderId="5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20" xfId="0" applyFont="1" applyFill="1" applyBorder="1" applyAlignment="1">
      <alignment horizontal="left" vertical="center"/>
    </xf>
    <xf numFmtId="2" fontId="3" fillId="0" borderId="37" xfId="0" applyNumberFormat="1" applyFont="1" applyBorder="1" applyAlignment="1">
      <alignment vertical="center"/>
    </xf>
    <xf numFmtId="2" fontId="3" fillId="0" borderId="38" xfId="0" applyNumberFormat="1" applyFont="1" applyBorder="1" applyAlignment="1">
      <alignment vertical="center"/>
    </xf>
    <xf numFmtId="2" fontId="3" fillId="0" borderId="39" xfId="0" applyNumberFormat="1" applyFont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35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2" fontId="3" fillId="0" borderId="25" xfId="0" applyNumberFormat="1" applyFont="1" applyFill="1" applyBorder="1" applyAlignment="1">
      <alignment vertical="center"/>
    </xf>
    <xf numFmtId="2" fontId="3" fillId="0" borderId="26" xfId="0" applyNumberFormat="1" applyFont="1" applyFill="1" applyBorder="1" applyAlignment="1">
      <alignment vertical="center"/>
    </xf>
    <xf numFmtId="2" fontId="3" fillId="0" borderId="33" xfId="0" applyNumberFormat="1" applyFont="1" applyFill="1" applyBorder="1" applyAlignment="1">
      <alignment horizontal="left" vertical="center"/>
    </xf>
    <xf numFmtId="2" fontId="3" fillId="0" borderId="43" xfId="0" applyNumberFormat="1" applyFont="1" applyFill="1" applyBorder="1" applyAlignment="1">
      <alignment horizontal="left" vertical="center"/>
    </xf>
    <xf numFmtId="2" fontId="2" fillId="0" borderId="44" xfId="0" applyNumberFormat="1" applyFont="1" applyFill="1" applyBorder="1" applyAlignment="1">
      <alignment horizontal="left" vertical="center"/>
    </xf>
    <xf numFmtId="2" fontId="3" fillId="0" borderId="45" xfId="0" applyNumberFormat="1" applyFont="1" applyFill="1" applyBorder="1" applyAlignment="1">
      <alignment horizontal="left" vertical="center"/>
    </xf>
    <xf numFmtId="2" fontId="3" fillId="0" borderId="46" xfId="0" applyNumberFormat="1" applyFont="1" applyFill="1" applyBorder="1" applyAlignment="1">
      <alignment horizontal="left" vertical="center"/>
    </xf>
    <xf numFmtId="2" fontId="3" fillId="0" borderId="44" xfId="0" applyNumberFormat="1" applyFont="1" applyFill="1" applyBorder="1" applyAlignment="1">
      <alignment horizontal="left" vertical="center"/>
    </xf>
    <xf numFmtId="2" fontId="2" fillId="0" borderId="45" xfId="0" applyNumberFormat="1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3" fillId="0" borderId="18" xfId="0" applyFont="1" applyFill="1" applyBorder="1" applyAlignment="1">
      <alignment horizontal="left" vertical="center"/>
    </xf>
    <xf numFmtId="0" fontId="3" fillId="0" borderId="19" xfId="0" applyFont="1" applyFill="1" applyBorder="1" applyAlignment="1">
      <alignment horizontal="left" vertical="center"/>
    </xf>
    <xf numFmtId="0" fontId="3" fillId="0" borderId="2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2" fillId="0" borderId="18" xfId="0" applyFont="1" applyFill="1" applyBorder="1" applyAlignment="1">
      <alignment horizontal="left" vertical="center"/>
    </xf>
    <xf numFmtId="2" fontId="4" fillId="0" borderId="9" xfId="0" applyNumberFormat="1" applyFont="1" applyFill="1" applyBorder="1" applyAlignment="1">
      <alignment horizontal="left" vertical="center"/>
    </xf>
    <xf numFmtId="2" fontId="4" fillId="0" borderId="18" xfId="0" applyNumberFormat="1" applyFont="1" applyFill="1" applyBorder="1" applyAlignment="1">
      <alignment horizontal="left" vertical="center"/>
    </xf>
    <xf numFmtId="2" fontId="4" fillId="0" borderId="24" xfId="0" applyNumberFormat="1" applyFont="1" applyFill="1" applyBorder="1" applyAlignment="1">
      <alignment horizontal="left" vertical="center"/>
    </xf>
    <xf numFmtId="2" fontId="4" fillId="0" borderId="48" xfId="0" applyNumberFormat="1" applyFont="1" applyFill="1" applyBorder="1" applyAlignment="1">
      <alignment horizontal="left" vertical="center"/>
    </xf>
    <xf numFmtId="2" fontId="4" fillId="0" borderId="49" xfId="0" applyNumberFormat="1" applyFont="1" applyFill="1" applyBorder="1" applyAlignment="1">
      <alignment horizontal="left" vertical="center"/>
    </xf>
    <xf numFmtId="2" fontId="4" fillId="0" borderId="2" xfId="0" applyNumberFormat="1" applyFont="1" applyFill="1" applyBorder="1" applyAlignment="1">
      <alignment horizontal="left" vertical="center"/>
    </xf>
    <xf numFmtId="2" fontId="4" fillId="0" borderId="47" xfId="0" applyNumberFormat="1" applyFont="1" applyFill="1" applyBorder="1" applyAlignment="1">
      <alignment horizontal="center" vertical="center"/>
    </xf>
    <xf numFmtId="2" fontId="4" fillId="0" borderId="48" xfId="0" applyNumberFormat="1" applyFont="1" applyFill="1" applyBorder="1" applyAlignment="1">
      <alignment horizontal="center" vertical="center"/>
    </xf>
    <xf numFmtId="2" fontId="3" fillId="2" borderId="37" xfId="0" applyNumberFormat="1" applyFont="1" applyFill="1" applyBorder="1" applyAlignment="1">
      <alignment horizontal="center" vertical="center"/>
    </xf>
    <xf numFmtId="2" fontId="3" fillId="2" borderId="38" xfId="0" applyNumberFormat="1" applyFont="1" applyFill="1" applyBorder="1" applyAlignment="1">
      <alignment horizontal="center" vertical="center"/>
    </xf>
    <xf numFmtId="2" fontId="3" fillId="2" borderId="39" xfId="0" applyNumberFormat="1" applyFont="1" applyFill="1" applyBorder="1" applyAlignment="1">
      <alignment horizontal="center" vertical="center"/>
    </xf>
    <xf numFmtId="2" fontId="3" fillId="5" borderId="25" xfId="0" applyNumberFormat="1" applyFont="1" applyFill="1" applyBorder="1" applyAlignment="1">
      <alignment horizontal="left" vertical="center"/>
    </xf>
    <xf numFmtId="2" fontId="3" fillId="5" borderId="26" xfId="0" applyNumberFormat="1" applyFont="1" applyFill="1" applyBorder="1" applyAlignment="1">
      <alignment horizontal="left" vertical="center"/>
    </xf>
    <xf numFmtId="2" fontId="3" fillId="10" borderId="25" xfId="0" applyNumberFormat="1" applyFont="1" applyFill="1" applyBorder="1" applyAlignment="1">
      <alignment horizontal="left" vertical="center"/>
    </xf>
    <xf numFmtId="2" fontId="3" fillId="10" borderId="26" xfId="0" applyNumberFormat="1" applyFont="1" applyFill="1" applyBorder="1" applyAlignment="1">
      <alignment horizontal="left" vertical="center"/>
    </xf>
    <xf numFmtId="2" fontId="3" fillId="9" borderId="25" xfId="0" applyNumberFormat="1" applyFont="1" applyFill="1" applyBorder="1" applyAlignment="1">
      <alignment horizontal="left" vertical="center"/>
    </xf>
    <xf numFmtId="2" fontId="3" fillId="9" borderId="26" xfId="0" applyNumberFormat="1" applyFont="1" applyFill="1" applyBorder="1" applyAlignment="1">
      <alignment horizontal="left" vertical="center"/>
    </xf>
    <xf numFmtId="2" fontId="3" fillId="8" borderId="25" xfId="0" applyNumberFormat="1" applyFont="1" applyFill="1" applyBorder="1" applyAlignment="1">
      <alignment horizontal="left" vertical="center"/>
    </xf>
    <xf numFmtId="2" fontId="3" fillId="8" borderId="26" xfId="0" applyNumberFormat="1" applyFont="1" applyFill="1" applyBorder="1" applyAlignment="1">
      <alignment horizontal="left" vertical="center"/>
    </xf>
    <xf numFmtId="2" fontId="3" fillId="7" borderId="25" xfId="0" applyNumberFormat="1" applyFont="1" applyFill="1" applyBorder="1" applyAlignment="1">
      <alignment horizontal="left" vertical="center"/>
    </xf>
    <xf numFmtId="2" fontId="3" fillId="7" borderId="26" xfId="0" applyNumberFormat="1" applyFont="1" applyFill="1" applyBorder="1" applyAlignment="1">
      <alignment horizontal="left" vertical="center"/>
    </xf>
    <xf numFmtId="2" fontId="3" fillId="6" borderId="25" xfId="0" applyNumberFormat="1" applyFont="1" applyFill="1" applyBorder="1" applyAlignment="1">
      <alignment horizontal="left" vertical="center"/>
    </xf>
    <xf numFmtId="2" fontId="3" fillId="6" borderId="26" xfId="0" applyNumberFormat="1" applyFont="1" applyFill="1" applyBorder="1" applyAlignment="1">
      <alignment horizontal="left" vertical="center"/>
    </xf>
    <xf numFmtId="2" fontId="3" fillId="3" borderId="25" xfId="0" applyNumberFormat="1" applyFont="1" applyFill="1" applyBorder="1" applyAlignment="1">
      <alignment horizontal="left" vertical="center"/>
    </xf>
    <xf numFmtId="2" fontId="3" fillId="3" borderId="26" xfId="0" applyNumberFormat="1" applyFont="1" applyFill="1" applyBorder="1" applyAlignment="1">
      <alignment horizontal="left" vertical="center"/>
    </xf>
    <xf numFmtId="2" fontId="3" fillId="4" borderId="25" xfId="0" applyNumberFormat="1" applyFont="1" applyFill="1" applyBorder="1" applyAlignment="1">
      <alignment horizontal="left" vertical="center"/>
    </xf>
    <xf numFmtId="2" fontId="3" fillId="4" borderId="26" xfId="0" applyNumberFormat="1" applyFont="1" applyFill="1" applyBorder="1" applyAlignment="1">
      <alignment horizontal="left" vertical="center"/>
    </xf>
    <xf numFmtId="0" fontId="5" fillId="0" borderId="3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2" fontId="4" fillId="9" borderId="14" xfId="0" applyNumberFormat="1" applyFont="1" applyFill="1" applyBorder="1" applyAlignment="1">
      <alignment horizontal="center" vertical="center"/>
    </xf>
    <xf numFmtId="2" fontId="4" fillId="10" borderId="14" xfId="0" applyNumberFormat="1" applyFont="1" applyFill="1" applyBorder="1" applyAlignment="1">
      <alignment horizontal="center" vertical="center"/>
    </xf>
    <xf numFmtId="2" fontId="4" fillId="10" borderId="22" xfId="0" applyNumberFormat="1" applyFont="1" applyFill="1" applyBorder="1" applyAlignment="1">
      <alignment horizontal="center" vertical="center"/>
    </xf>
    <xf numFmtId="2" fontId="4" fillId="3" borderId="20" xfId="0" applyNumberFormat="1" applyFont="1" applyFill="1" applyBorder="1" applyAlignment="1">
      <alignment horizontal="center" vertical="center"/>
    </xf>
    <xf numFmtId="2" fontId="4" fillId="3" borderId="14" xfId="0" applyNumberFormat="1" applyFont="1" applyFill="1" applyBorder="1" applyAlignment="1">
      <alignment horizontal="center" vertical="center"/>
    </xf>
    <xf numFmtId="2" fontId="4" fillId="4" borderId="14" xfId="0" applyNumberFormat="1" applyFont="1" applyFill="1" applyBorder="1" applyAlignment="1">
      <alignment horizontal="center" vertical="center"/>
    </xf>
    <xf numFmtId="2" fontId="4" fillId="5" borderId="14" xfId="0" applyNumberFormat="1" applyFont="1" applyFill="1" applyBorder="1" applyAlignment="1">
      <alignment horizontal="center" vertical="center"/>
    </xf>
    <xf numFmtId="2" fontId="4" fillId="6" borderId="14" xfId="0" applyNumberFormat="1" applyFont="1" applyFill="1" applyBorder="1" applyAlignment="1">
      <alignment horizontal="center" vertical="center"/>
    </xf>
    <xf numFmtId="2" fontId="4" fillId="7" borderId="14" xfId="0" applyNumberFormat="1" applyFont="1" applyFill="1" applyBorder="1" applyAlignment="1">
      <alignment horizontal="center" vertical="center"/>
    </xf>
    <xf numFmtId="2" fontId="4" fillId="8" borderId="14" xfId="0" applyNumberFormat="1" applyFont="1" applyFill="1" applyBorder="1" applyAlignment="1">
      <alignment horizontal="center" vertical="center"/>
    </xf>
    <xf numFmtId="2" fontId="4" fillId="2" borderId="40" xfId="0" applyNumberFormat="1" applyFont="1" applyFill="1" applyBorder="1" applyAlignment="1">
      <alignment horizontal="center" vertical="center"/>
    </xf>
    <xf numFmtId="2" fontId="4" fillId="2" borderId="41" xfId="0" applyNumberFormat="1" applyFont="1" applyFill="1" applyBorder="1" applyAlignment="1">
      <alignment horizontal="center" vertical="center"/>
    </xf>
    <xf numFmtId="2" fontId="4" fillId="2" borderId="4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D9F3-FC4C-4825-BD86-A126FE5E09C0}">
  <dimension ref="A1:BZ144"/>
  <sheetViews>
    <sheetView tabSelected="1" topLeftCell="S8" zoomScale="50" zoomScaleNormal="50" workbookViewId="0">
      <selection activeCell="AD22" sqref="AD22"/>
    </sheetView>
  </sheetViews>
  <sheetFormatPr defaultRowHeight="16.2" x14ac:dyDescent="0.3"/>
  <cols>
    <col min="1" max="1" width="15.77734375" style="157" customWidth="1"/>
    <col min="2" max="2" width="15.77734375" style="1" customWidth="1"/>
    <col min="3" max="3" width="15.77734375" style="37" customWidth="1"/>
    <col min="4" max="4" width="15.77734375" style="157" customWidth="1"/>
    <col min="5" max="5" width="15.77734375" style="124" customWidth="1"/>
    <col min="6" max="6" width="15.77734375" style="158" customWidth="1"/>
    <col min="7" max="7" width="15.77734375" style="157" customWidth="1"/>
    <col min="8" max="8" width="15.77734375" style="1" customWidth="1"/>
    <col min="9" max="9" width="15.77734375" style="37" customWidth="1"/>
    <col min="10" max="10" width="15.77734375" style="157" customWidth="1"/>
    <col min="11" max="11" width="15.77734375" style="124" customWidth="1"/>
    <col min="12" max="12" width="15.77734375" style="158" customWidth="1"/>
    <col min="13" max="13" width="15.77734375" style="157" customWidth="1"/>
    <col min="14" max="14" width="15.77734375" style="1" customWidth="1"/>
    <col min="15" max="15" width="15.77734375" style="37" customWidth="1"/>
    <col min="16" max="16" width="15.77734375" style="157" customWidth="1"/>
    <col min="17" max="17" width="15.77734375" style="124" customWidth="1"/>
    <col min="18" max="18" width="15.77734375" style="158" customWidth="1"/>
    <col min="19" max="19" width="15.77734375" style="157" customWidth="1"/>
    <col min="20" max="20" width="15.77734375" style="1" customWidth="1"/>
    <col min="21" max="21" width="15.77734375" style="37" customWidth="1"/>
    <col min="22" max="22" width="15.77734375" style="157" customWidth="1"/>
    <col min="23" max="23" width="15.77734375" style="124" customWidth="1"/>
    <col min="24" max="24" width="15.77734375" style="158" customWidth="1"/>
    <col min="25" max="25" width="15.77734375" style="161" customWidth="1"/>
    <col min="26" max="55" width="15.77734375" style="124" customWidth="1"/>
    <col min="56" max="16384" width="8.88671875" style="124"/>
  </cols>
  <sheetData>
    <row r="1" spans="1:78" s="71" customFormat="1" x14ac:dyDescent="0.3">
      <c r="A1" s="230" t="s">
        <v>20</v>
      </c>
      <c r="B1" s="231"/>
      <c r="C1" s="231"/>
      <c r="D1" s="231"/>
      <c r="E1" s="232"/>
      <c r="F1" s="230" t="s">
        <v>21</v>
      </c>
      <c r="G1" s="231"/>
      <c r="H1" s="231"/>
      <c r="I1" s="231"/>
      <c r="J1" s="232"/>
      <c r="K1" s="230" t="s">
        <v>22</v>
      </c>
      <c r="L1" s="231"/>
      <c r="M1" s="231"/>
      <c r="N1" s="231"/>
      <c r="O1" s="232"/>
      <c r="P1" s="98"/>
      <c r="Q1" s="99"/>
      <c r="R1" s="100"/>
      <c r="S1" s="98"/>
      <c r="T1" s="99"/>
      <c r="U1" s="100"/>
      <c r="V1" s="98"/>
      <c r="W1" s="99"/>
      <c r="X1" s="100"/>
      <c r="Y1" s="101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</row>
    <row r="2" spans="1:78" s="4" customFormat="1" x14ac:dyDescent="0.3">
      <c r="A2" s="233" t="s">
        <v>8</v>
      </c>
      <c r="B2" s="4" t="s">
        <v>0</v>
      </c>
      <c r="C2" s="4" t="s">
        <v>17</v>
      </c>
      <c r="D2" s="4" t="s">
        <v>18</v>
      </c>
      <c r="E2" s="166" t="s">
        <v>19</v>
      </c>
      <c r="F2" s="233" t="s">
        <v>8</v>
      </c>
      <c r="G2" s="4" t="s">
        <v>0</v>
      </c>
      <c r="H2" s="4" t="s">
        <v>17</v>
      </c>
      <c r="I2" s="4" t="s">
        <v>18</v>
      </c>
      <c r="J2" s="166" t="s">
        <v>19</v>
      </c>
      <c r="K2" s="233" t="s">
        <v>8</v>
      </c>
      <c r="L2" s="4" t="s">
        <v>0</v>
      </c>
      <c r="M2" s="4" t="s">
        <v>17</v>
      </c>
      <c r="N2" s="4" t="s">
        <v>18</v>
      </c>
      <c r="O2" s="166" t="s">
        <v>19</v>
      </c>
      <c r="P2" s="103"/>
      <c r="Q2" s="104"/>
      <c r="R2" s="105"/>
      <c r="S2" s="162"/>
      <c r="T2" s="163"/>
      <c r="U2" s="164"/>
      <c r="V2" s="103"/>
      <c r="W2" s="104"/>
      <c r="X2" s="105"/>
      <c r="Y2" s="106"/>
      <c r="Z2" s="107"/>
      <c r="AA2" s="107"/>
      <c r="AB2" s="165"/>
      <c r="AC2" s="165"/>
      <c r="AD2" s="165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</row>
    <row r="3" spans="1:78" s="4" customFormat="1" x14ac:dyDescent="0.3">
      <c r="A3" s="234"/>
      <c r="B3" s="3" t="s">
        <v>9</v>
      </c>
      <c r="C3" s="3" t="s">
        <v>9</v>
      </c>
      <c r="D3" s="3" t="s">
        <v>9</v>
      </c>
      <c r="E3" s="167" t="s">
        <v>9</v>
      </c>
      <c r="F3" s="234"/>
      <c r="G3" s="3" t="s">
        <v>9</v>
      </c>
      <c r="H3" s="3" t="s">
        <v>9</v>
      </c>
      <c r="I3" s="3" t="s">
        <v>9</v>
      </c>
      <c r="J3" s="167" t="s">
        <v>9</v>
      </c>
      <c r="K3" s="234"/>
      <c r="L3" s="3" t="s">
        <v>9</v>
      </c>
      <c r="M3" s="3" t="s">
        <v>9</v>
      </c>
      <c r="N3" s="3" t="s">
        <v>9</v>
      </c>
      <c r="O3" s="167" t="s">
        <v>9</v>
      </c>
      <c r="P3" s="103"/>
      <c r="Q3" s="104"/>
      <c r="R3" s="105"/>
      <c r="S3" s="162"/>
      <c r="T3" s="163"/>
      <c r="U3" s="164"/>
      <c r="V3" s="103"/>
      <c r="W3" s="104"/>
      <c r="X3" s="105"/>
      <c r="Y3" s="106"/>
      <c r="Z3" s="107"/>
      <c r="AA3" s="107"/>
      <c r="AB3" s="165"/>
      <c r="AC3" s="165"/>
      <c r="AD3" s="165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</row>
    <row r="4" spans="1:78" s="4" customFormat="1" x14ac:dyDescent="0.3">
      <c r="A4" s="168" t="s">
        <v>10</v>
      </c>
      <c r="B4" s="5">
        <v>78.541650000000004</v>
      </c>
      <c r="C4" s="5">
        <v>92.375024999999994</v>
      </c>
      <c r="D4" s="5">
        <v>86.791674999999998</v>
      </c>
      <c r="E4" s="38">
        <v>90.25</v>
      </c>
      <c r="F4" s="19" t="s">
        <v>10</v>
      </c>
      <c r="G4" s="5">
        <v>93.75</v>
      </c>
      <c r="H4" s="5">
        <v>97.958325000000002</v>
      </c>
      <c r="I4" s="5">
        <v>98.333325000000002</v>
      </c>
      <c r="J4" s="38">
        <v>96.166674999999998</v>
      </c>
      <c r="K4" s="19" t="s">
        <v>10</v>
      </c>
      <c r="L4" s="5">
        <v>95.208299999999994</v>
      </c>
      <c r="M4" s="5">
        <v>97.916674999999998</v>
      </c>
      <c r="N4" s="5">
        <v>97.416650000000004</v>
      </c>
      <c r="O4" s="38">
        <v>96.416650000000004</v>
      </c>
      <c r="P4" s="103"/>
      <c r="Q4" s="104"/>
      <c r="R4" s="105"/>
      <c r="S4" s="103"/>
      <c r="T4" s="104"/>
      <c r="U4" s="105"/>
      <c r="V4" s="103"/>
      <c r="W4" s="104"/>
      <c r="X4" s="105"/>
      <c r="Y4" s="106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</row>
    <row r="5" spans="1:78" s="4" customFormat="1" x14ac:dyDescent="0.3">
      <c r="A5" s="169" t="s">
        <v>1</v>
      </c>
      <c r="B5" s="5">
        <v>98.083349999999996</v>
      </c>
      <c r="C5" s="5">
        <v>97.583349999999996</v>
      </c>
      <c r="D5" s="5">
        <v>96.416674999999998</v>
      </c>
      <c r="E5" s="38">
        <v>95.208325000000002</v>
      </c>
      <c r="F5" s="20" t="s">
        <v>1</v>
      </c>
      <c r="G5" s="5">
        <v>96.5</v>
      </c>
      <c r="H5" s="5">
        <v>99.541674999999998</v>
      </c>
      <c r="I5" s="5">
        <v>98.541674999999998</v>
      </c>
      <c r="J5" s="38">
        <v>96.083349999999996</v>
      </c>
      <c r="K5" s="20" t="s">
        <v>1</v>
      </c>
      <c r="L5" s="5">
        <v>96.5</v>
      </c>
      <c r="M5" s="5">
        <v>99.416674999999998</v>
      </c>
      <c r="N5" s="5">
        <v>97.958349999999996</v>
      </c>
      <c r="O5" s="38">
        <v>96.541674999999998</v>
      </c>
      <c r="P5" s="103"/>
      <c r="Q5" s="104"/>
      <c r="R5" s="105"/>
      <c r="S5" s="103"/>
      <c r="T5" s="104"/>
      <c r="U5" s="105"/>
      <c r="V5" s="103"/>
      <c r="W5" s="104"/>
      <c r="X5" s="105"/>
      <c r="Y5" s="106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7"/>
      <c r="BW5" s="107"/>
      <c r="BX5" s="107"/>
      <c r="BY5" s="107"/>
      <c r="BZ5" s="107"/>
    </row>
    <row r="6" spans="1:78" s="4" customFormat="1" x14ac:dyDescent="0.3">
      <c r="A6" s="170" t="s">
        <v>11</v>
      </c>
      <c r="B6" s="5">
        <v>97.666650000000004</v>
      </c>
      <c r="C6" s="5">
        <v>98.166674999999998</v>
      </c>
      <c r="D6" s="5">
        <v>97.583325000000002</v>
      </c>
      <c r="E6" s="38">
        <v>98.333349999999996</v>
      </c>
      <c r="F6" s="21" t="s">
        <v>11</v>
      </c>
      <c r="G6" s="5">
        <v>100</v>
      </c>
      <c r="H6" s="5">
        <v>96.5</v>
      </c>
      <c r="I6" s="5">
        <v>96.333325000000002</v>
      </c>
      <c r="J6" s="38">
        <v>100</v>
      </c>
      <c r="K6" s="21" t="s">
        <v>11</v>
      </c>
      <c r="L6" s="5">
        <v>100</v>
      </c>
      <c r="M6" s="5">
        <v>97.166674999999998</v>
      </c>
      <c r="N6" s="5">
        <v>97.875</v>
      </c>
      <c r="O6" s="38">
        <v>100</v>
      </c>
      <c r="P6" s="103"/>
      <c r="Q6" s="104"/>
      <c r="R6" s="105"/>
      <c r="S6" s="103"/>
      <c r="T6" s="104"/>
      <c r="U6" s="105"/>
      <c r="V6" s="103"/>
      <c r="W6" s="104"/>
      <c r="X6" s="105"/>
      <c r="Y6" s="106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107"/>
    </row>
    <row r="7" spans="1:78" s="4" customFormat="1" x14ac:dyDescent="0.3">
      <c r="A7" s="171" t="s">
        <v>12</v>
      </c>
      <c r="B7" s="5">
        <v>96.583325000000002</v>
      </c>
      <c r="C7" s="5">
        <v>97.291674999999998</v>
      </c>
      <c r="D7" s="5">
        <v>100</v>
      </c>
      <c r="E7" s="38">
        <v>99.291674999999998</v>
      </c>
      <c r="F7" s="22" t="s">
        <v>12</v>
      </c>
      <c r="G7" s="5">
        <v>96.75</v>
      </c>
      <c r="H7" s="5">
        <v>89.000024999999994</v>
      </c>
      <c r="I7" s="5">
        <v>98.083325000000002</v>
      </c>
      <c r="J7" s="38">
        <v>89.833325000000002</v>
      </c>
      <c r="K7" s="22" t="s">
        <v>12</v>
      </c>
      <c r="L7" s="5">
        <v>96.833349999999996</v>
      </c>
      <c r="M7" s="5">
        <v>91.75</v>
      </c>
      <c r="N7" s="5">
        <v>98.666674999999998</v>
      </c>
      <c r="O7" s="38">
        <v>89.708325000000002</v>
      </c>
      <c r="P7" s="103"/>
      <c r="Q7" s="104"/>
      <c r="R7" s="105"/>
      <c r="S7" s="103"/>
      <c r="T7" s="104"/>
      <c r="U7" s="105"/>
      <c r="V7" s="103"/>
      <c r="W7" s="104"/>
      <c r="X7" s="105"/>
      <c r="Y7" s="106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  <c r="BP7" s="107"/>
      <c r="BQ7" s="107"/>
      <c r="BR7" s="107"/>
      <c r="BS7" s="107"/>
      <c r="BT7" s="107"/>
      <c r="BU7" s="107"/>
      <c r="BV7" s="107"/>
      <c r="BW7" s="107"/>
      <c r="BX7" s="107"/>
      <c r="BY7" s="107"/>
      <c r="BZ7" s="107"/>
    </row>
    <row r="8" spans="1:78" s="4" customFormat="1" x14ac:dyDescent="0.3">
      <c r="A8" s="172" t="s">
        <v>13</v>
      </c>
      <c r="B8" s="5">
        <v>94.791674999999998</v>
      </c>
      <c r="C8" s="5">
        <v>99</v>
      </c>
      <c r="D8" s="5">
        <v>89.291674999999998</v>
      </c>
      <c r="E8" s="38">
        <v>92.291650000000004</v>
      </c>
      <c r="F8" s="23" t="s">
        <v>13</v>
      </c>
      <c r="G8" s="5">
        <v>80.291674999999998</v>
      </c>
      <c r="H8" s="5">
        <v>97.75</v>
      </c>
      <c r="I8" s="5">
        <v>98.25</v>
      </c>
      <c r="J8" s="38">
        <v>98.958325000000002</v>
      </c>
      <c r="K8" s="23" t="s">
        <v>13</v>
      </c>
      <c r="L8" s="5">
        <v>80.291674999999998</v>
      </c>
      <c r="M8" s="5">
        <v>97.91664999999999</v>
      </c>
      <c r="N8" s="5">
        <v>98.41664999999999</v>
      </c>
      <c r="O8" s="38">
        <v>99.166650000000004</v>
      </c>
      <c r="P8" s="103"/>
      <c r="Q8" s="104"/>
      <c r="R8" s="105"/>
      <c r="S8" s="103"/>
      <c r="T8" s="104"/>
      <c r="U8" s="105"/>
      <c r="V8" s="103"/>
      <c r="W8" s="104"/>
      <c r="X8" s="105"/>
      <c r="Y8" s="106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</row>
    <row r="9" spans="1:78" s="4" customFormat="1" x14ac:dyDescent="0.3">
      <c r="A9" s="173" t="s">
        <v>14</v>
      </c>
      <c r="B9" s="5">
        <v>96.875</v>
      </c>
      <c r="C9" s="5">
        <v>98.083325000000002</v>
      </c>
      <c r="D9" s="5">
        <v>99.041650000000004</v>
      </c>
      <c r="E9" s="38">
        <v>83.000024999999994</v>
      </c>
      <c r="F9" s="24" t="s">
        <v>14</v>
      </c>
      <c r="G9" s="5">
        <v>93.125</v>
      </c>
      <c r="H9" s="5">
        <v>99.708325000000002</v>
      </c>
      <c r="I9" s="5">
        <v>99.5</v>
      </c>
      <c r="J9" s="38">
        <v>99.499975000000006</v>
      </c>
      <c r="K9" s="24" t="s">
        <v>14</v>
      </c>
      <c r="L9" s="5">
        <v>96.291674999999998</v>
      </c>
      <c r="M9" s="5">
        <v>99.833325000000002</v>
      </c>
      <c r="N9" s="5">
        <v>99.666650000000004</v>
      </c>
      <c r="O9" s="38">
        <v>99.458325000000002</v>
      </c>
      <c r="P9" s="103"/>
      <c r="Q9" s="104"/>
      <c r="R9" s="105"/>
      <c r="S9" s="103"/>
      <c r="T9" s="104"/>
      <c r="U9" s="105"/>
      <c r="V9" s="103"/>
      <c r="W9" s="104"/>
      <c r="X9" s="105"/>
      <c r="Y9" s="106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</row>
    <row r="10" spans="1:78" s="4" customFormat="1" x14ac:dyDescent="0.3">
      <c r="A10" s="174" t="s">
        <v>15</v>
      </c>
      <c r="B10" s="5">
        <v>99.874975000000006</v>
      </c>
      <c r="C10" s="5">
        <v>99.5</v>
      </c>
      <c r="D10" s="5">
        <v>99.625</v>
      </c>
      <c r="E10" s="38">
        <v>94.33335000000001</v>
      </c>
      <c r="F10" s="25" t="s">
        <v>15</v>
      </c>
      <c r="G10" s="5">
        <v>89.583325000000002</v>
      </c>
      <c r="H10" s="5">
        <v>97.625</v>
      </c>
      <c r="I10" s="5">
        <v>98.708325000000002</v>
      </c>
      <c r="J10" s="38">
        <v>97.958325000000002</v>
      </c>
      <c r="K10" s="25" t="s">
        <v>15</v>
      </c>
      <c r="L10" s="5">
        <v>89.583349999999996</v>
      </c>
      <c r="M10" s="5">
        <v>97.583325000000002</v>
      </c>
      <c r="N10" s="5">
        <v>98.416674999999998</v>
      </c>
      <c r="O10" s="38">
        <v>97.500024999999994</v>
      </c>
      <c r="P10" s="103"/>
      <c r="Q10" s="104"/>
      <c r="R10" s="105"/>
      <c r="S10" s="103"/>
      <c r="T10" s="104"/>
      <c r="U10" s="105"/>
      <c r="V10" s="103"/>
      <c r="W10" s="104"/>
      <c r="X10" s="105"/>
      <c r="Y10" s="106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</row>
    <row r="11" spans="1:78" s="4" customFormat="1" x14ac:dyDescent="0.3">
      <c r="A11" s="175" t="s">
        <v>16</v>
      </c>
      <c r="B11" s="5">
        <v>97.458349999999996</v>
      </c>
      <c r="C11" s="5">
        <v>98.583349999999996</v>
      </c>
      <c r="D11" s="5">
        <v>97.625</v>
      </c>
      <c r="E11" s="38">
        <v>92.125</v>
      </c>
      <c r="F11" s="26" t="s">
        <v>16</v>
      </c>
      <c r="G11" s="5">
        <v>75.208299999999994</v>
      </c>
      <c r="H11" s="5">
        <v>94.583325000000002</v>
      </c>
      <c r="I11" s="5">
        <v>88.541674999999998</v>
      </c>
      <c r="J11" s="38">
        <v>87.958349999999996</v>
      </c>
      <c r="K11" s="26" t="s">
        <v>16</v>
      </c>
      <c r="L11" s="5">
        <v>77.291650000000004</v>
      </c>
      <c r="M11" s="5">
        <v>93.000024999999994</v>
      </c>
      <c r="N11" s="5">
        <v>88.208325000000002</v>
      </c>
      <c r="O11" s="38">
        <v>86.125</v>
      </c>
      <c r="P11" s="103"/>
      <c r="Q11" s="104"/>
      <c r="R11" s="105"/>
      <c r="S11" s="103"/>
      <c r="T11" s="104"/>
      <c r="U11" s="105"/>
      <c r="V11" s="103"/>
      <c r="W11" s="104"/>
      <c r="X11" s="105"/>
      <c r="Y11" s="106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  <c r="BM11" s="107"/>
      <c r="BN11" s="107"/>
      <c r="BO11" s="107"/>
      <c r="BP11" s="107"/>
      <c r="BQ11" s="107"/>
      <c r="BR11" s="107"/>
      <c r="BS11" s="107"/>
      <c r="BT11" s="107"/>
      <c r="BU11" s="107"/>
      <c r="BV11" s="107"/>
      <c r="BW11" s="107"/>
      <c r="BX11" s="107"/>
      <c r="BY11" s="107"/>
      <c r="BZ11" s="107"/>
    </row>
    <row r="12" spans="1:78" s="2" customFormat="1" ht="16.8" thickBot="1" x14ac:dyDescent="0.35">
      <c r="A12" s="176"/>
      <c r="B12" s="177">
        <f>AVERAGE(B4:B11)</f>
        <v>94.984371875000008</v>
      </c>
      <c r="C12" s="177">
        <f>AVERAGE(C4:C11)</f>
        <v>97.572924999999998</v>
      </c>
      <c r="D12" s="177">
        <f>AVERAGE(D4:D11)</f>
        <v>95.796875</v>
      </c>
      <c r="E12" s="178">
        <f>AVERAGE(E4:E11)</f>
        <v>93.104171875000006</v>
      </c>
      <c r="F12" s="179"/>
      <c r="G12" s="177">
        <f>AVERAGE(G4:G11)</f>
        <v>90.651037500000001</v>
      </c>
      <c r="H12" s="177">
        <f>AVERAGE(H4:H11)</f>
        <v>96.583334374999993</v>
      </c>
      <c r="I12" s="177">
        <f>AVERAGE(I4:I11)</f>
        <v>97.036456249999986</v>
      </c>
      <c r="J12" s="178">
        <f>AVERAGE(J4:J11)</f>
        <v>95.807290624999993</v>
      </c>
      <c r="K12" s="179"/>
      <c r="L12" s="177">
        <f>AVERAGE(L4:L11)</f>
        <v>91.5</v>
      </c>
      <c r="M12" s="177">
        <f>AVERAGE(M4:M11)</f>
        <v>96.822918750000014</v>
      </c>
      <c r="N12" s="177">
        <f>AVERAGE(N4:N11)</f>
        <v>97.078121874999994</v>
      </c>
      <c r="O12" s="178">
        <f>AVERAGE(O4:O11)</f>
        <v>95.614581250000015</v>
      </c>
      <c r="P12" s="108"/>
      <c r="Q12" s="109"/>
      <c r="R12" s="110"/>
      <c r="S12" s="108"/>
      <c r="T12" s="109"/>
      <c r="U12" s="110"/>
      <c r="V12" s="108"/>
      <c r="W12" s="109"/>
      <c r="X12" s="110"/>
      <c r="Y12" s="111"/>
      <c r="Z12" s="112"/>
      <c r="AA12" s="112"/>
      <c r="AB12" s="107"/>
      <c r="AC12" s="107"/>
      <c r="AD12" s="107"/>
      <c r="AE12" s="107"/>
      <c r="AF12" s="107"/>
      <c r="AG12" s="107"/>
      <c r="AH12" s="107"/>
      <c r="AI12" s="107"/>
      <c r="AJ12" s="112"/>
      <c r="AK12" s="112"/>
      <c r="AL12" s="112"/>
      <c r="AM12" s="112"/>
      <c r="AN12" s="112"/>
      <c r="AO12" s="112"/>
      <c r="AP12" s="112"/>
      <c r="AQ12" s="107"/>
      <c r="AR12" s="112"/>
      <c r="AS12" s="112"/>
      <c r="AT12" s="112"/>
      <c r="AU12" s="112"/>
      <c r="AV12" s="112"/>
      <c r="AW12" s="107"/>
      <c r="AX12" s="107"/>
      <c r="AY12" s="107"/>
      <c r="AZ12" s="107"/>
      <c r="BA12" s="107"/>
      <c r="BB12" s="107"/>
      <c r="BC12" s="107"/>
      <c r="BD12" s="112"/>
      <c r="BE12" s="112"/>
      <c r="BF12" s="112"/>
      <c r="BG12" s="112"/>
      <c r="BH12" s="112"/>
      <c r="BI12" s="112"/>
      <c r="BJ12" s="112"/>
      <c r="BK12" s="112"/>
      <c r="BL12" s="112"/>
      <c r="BM12" s="112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</row>
    <row r="13" spans="1:78" s="137" customFormat="1" ht="16.8" thickBot="1" x14ac:dyDescent="0.35">
      <c r="A13" s="125"/>
      <c r="B13" s="126"/>
      <c r="C13" s="127"/>
      <c r="D13" s="127"/>
      <c r="E13" s="127"/>
      <c r="F13" s="127"/>
      <c r="G13" s="127"/>
      <c r="H13" s="127"/>
      <c r="I13" s="128"/>
      <c r="J13" s="125"/>
      <c r="K13" s="129"/>
      <c r="L13" s="130"/>
      <c r="M13" s="125"/>
      <c r="N13" s="129"/>
      <c r="O13" s="130"/>
      <c r="P13" s="131"/>
      <c r="Q13" s="132"/>
      <c r="R13" s="133"/>
      <c r="S13" s="131"/>
      <c r="T13" s="132"/>
      <c r="U13" s="133"/>
      <c r="V13" s="131"/>
      <c r="W13" s="132"/>
      <c r="X13" s="133"/>
      <c r="Y13" s="134"/>
      <c r="Z13" s="135"/>
      <c r="AA13" s="135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</row>
    <row r="14" spans="1:78" s="137" customFormat="1" ht="16.8" thickBot="1" x14ac:dyDescent="0.35">
      <c r="A14" s="211" t="s">
        <v>35</v>
      </c>
      <c r="B14" s="212"/>
      <c r="C14" s="212"/>
      <c r="D14" s="212"/>
      <c r="E14" s="212"/>
      <c r="F14" s="212"/>
      <c r="G14" s="212"/>
      <c r="H14" s="212"/>
      <c r="I14" s="213"/>
      <c r="J14" s="125"/>
      <c r="K14" s="245" t="s">
        <v>35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7"/>
      <c r="AB14" s="182"/>
      <c r="AC14" s="183"/>
      <c r="AD14" s="136"/>
      <c r="AE14" s="181"/>
      <c r="AF14" s="182"/>
      <c r="AG14" s="182"/>
      <c r="AH14" s="182"/>
      <c r="AI14" s="182"/>
      <c r="AJ14" s="182"/>
      <c r="AK14" s="182"/>
      <c r="AL14" s="182"/>
      <c r="AM14" s="183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5"/>
      <c r="BO14" s="135"/>
      <c r="BP14" s="135"/>
      <c r="BQ14" s="135"/>
      <c r="BR14" s="135"/>
      <c r="BS14" s="135"/>
      <c r="BT14" s="135"/>
      <c r="BU14" s="135"/>
      <c r="BV14" s="135"/>
      <c r="BW14" s="135"/>
      <c r="BX14" s="135"/>
      <c r="BY14" s="135"/>
      <c r="BZ14" s="135"/>
    </row>
    <row r="15" spans="1:78" s="141" customFormat="1" x14ac:dyDescent="0.3">
      <c r="A15" s="226" t="s">
        <v>27</v>
      </c>
      <c r="B15" s="95" t="s">
        <v>36</v>
      </c>
      <c r="C15" s="96"/>
      <c r="D15" s="97" t="s">
        <v>37</v>
      </c>
      <c r="E15" s="96"/>
      <c r="F15" s="97" t="s">
        <v>38</v>
      </c>
      <c r="G15" s="96"/>
      <c r="H15" s="97" t="s">
        <v>39</v>
      </c>
      <c r="I15" s="96"/>
      <c r="J15" s="189"/>
      <c r="K15" s="209" t="s">
        <v>40</v>
      </c>
      <c r="L15" s="238" t="s">
        <v>41</v>
      </c>
      <c r="M15" s="239"/>
      <c r="N15" s="240" t="s">
        <v>28</v>
      </c>
      <c r="O15" s="240"/>
      <c r="P15" s="241" t="s">
        <v>29</v>
      </c>
      <c r="Q15" s="241"/>
      <c r="R15" s="242" t="s">
        <v>30</v>
      </c>
      <c r="S15" s="242"/>
      <c r="T15" s="243" t="s">
        <v>31</v>
      </c>
      <c r="U15" s="243"/>
      <c r="V15" s="244" t="s">
        <v>32</v>
      </c>
      <c r="W15" s="244"/>
      <c r="X15" s="235" t="s">
        <v>33</v>
      </c>
      <c r="Y15" s="235"/>
      <c r="Z15" s="236" t="s">
        <v>34</v>
      </c>
      <c r="AA15" s="237"/>
      <c r="AB15" s="180"/>
      <c r="AC15" s="185"/>
      <c r="AD15" s="186"/>
      <c r="AE15" s="140"/>
      <c r="AF15" s="140"/>
      <c r="AG15" s="184"/>
      <c r="AH15" s="184"/>
      <c r="AI15" s="184"/>
      <c r="AJ15" s="184"/>
      <c r="AK15" s="185"/>
      <c r="AL15" s="186"/>
      <c r="AM15" s="140"/>
      <c r="AN15" s="140"/>
      <c r="AO15" s="184"/>
      <c r="AP15" s="184"/>
      <c r="AQ15" s="184"/>
      <c r="AR15" s="184"/>
      <c r="AS15" s="184"/>
      <c r="AT15" s="184"/>
      <c r="AU15" s="140"/>
      <c r="AV15" s="140"/>
      <c r="AW15" s="140"/>
      <c r="AX15" s="140"/>
      <c r="AY15" s="140"/>
      <c r="AZ15" s="140"/>
      <c r="BA15" s="140"/>
      <c r="BB15" s="140"/>
      <c r="BC15" s="140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</row>
    <row r="16" spans="1:78" s="144" customFormat="1" ht="16.8" thickBot="1" x14ac:dyDescent="0.35">
      <c r="A16" s="227"/>
      <c r="B16" s="43" t="s">
        <v>23</v>
      </c>
      <c r="C16" s="44" t="s">
        <v>24</v>
      </c>
      <c r="D16" s="43" t="s">
        <v>23</v>
      </c>
      <c r="E16" s="44" t="s">
        <v>24</v>
      </c>
      <c r="F16" s="43" t="s">
        <v>23</v>
      </c>
      <c r="G16" s="44" t="s">
        <v>24</v>
      </c>
      <c r="H16" s="43" t="s">
        <v>23</v>
      </c>
      <c r="I16" s="44" t="s">
        <v>24</v>
      </c>
      <c r="J16" s="190"/>
      <c r="K16" s="210"/>
      <c r="L16" s="204" t="s">
        <v>42</v>
      </c>
      <c r="M16" s="120" t="s">
        <v>43</v>
      </c>
      <c r="N16" s="120" t="s">
        <v>42</v>
      </c>
      <c r="O16" s="120" t="s">
        <v>43</v>
      </c>
      <c r="P16" s="120" t="s">
        <v>42</v>
      </c>
      <c r="Q16" s="120" t="s">
        <v>43</v>
      </c>
      <c r="R16" s="120" t="s">
        <v>42</v>
      </c>
      <c r="S16" s="120" t="s">
        <v>43</v>
      </c>
      <c r="T16" s="120" t="s">
        <v>42</v>
      </c>
      <c r="U16" s="120" t="s">
        <v>43</v>
      </c>
      <c r="V16" s="120" t="s">
        <v>42</v>
      </c>
      <c r="W16" s="120" t="s">
        <v>43</v>
      </c>
      <c r="X16" s="120" t="s">
        <v>42</v>
      </c>
      <c r="Y16" s="120" t="s">
        <v>43</v>
      </c>
      <c r="Z16" s="120" t="s">
        <v>42</v>
      </c>
      <c r="AA16" s="121" t="s">
        <v>43</v>
      </c>
      <c r="AB16" s="196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2"/>
      <c r="BO16" s="142"/>
      <c r="BP16" s="142"/>
      <c r="BQ16" s="142"/>
      <c r="BR16" s="142"/>
      <c r="BS16" s="142"/>
      <c r="BT16" s="142"/>
      <c r="BU16" s="142"/>
      <c r="BV16" s="142"/>
      <c r="BW16" s="142"/>
      <c r="BX16" s="142"/>
      <c r="BY16" s="142"/>
      <c r="BZ16" s="142"/>
    </row>
    <row r="17" spans="1:78" s="147" customFormat="1" x14ac:dyDescent="0.3">
      <c r="A17" s="40" t="s">
        <v>10</v>
      </c>
      <c r="B17" s="41">
        <v>2.1053000000000002</v>
      </c>
      <c r="C17" s="42">
        <v>-1.9708000000000001</v>
      </c>
      <c r="D17" s="41">
        <v>0.91279999999999994</v>
      </c>
      <c r="E17" s="42">
        <v>-0.39460000000000001</v>
      </c>
      <c r="F17" s="41">
        <v>0.49070000000000003</v>
      </c>
      <c r="G17" s="42">
        <v>0.46189999999999998</v>
      </c>
      <c r="H17" s="41">
        <v>0.7036</v>
      </c>
      <c r="I17" s="42">
        <v>-1.6299999999999999E-2</v>
      </c>
      <c r="J17" s="191"/>
      <c r="K17" s="206" t="s">
        <v>44</v>
      </c>
      <c r="L17" s="204">
        <v>2.1053000000000002</v>
      </c>
      <c r="M17" s="120">
        <v>-1.9708000000000001</v>
      </c>
      <c r="N17" s="204">
        <v>1.6608000000000001</v>
      </c>
      <c r="O17" s="120">
        <v>-1.4308000000000001</v>
      </c>
      <c r="P17" s="204">
        <v>1.4298</v>
      </c>
      <c r="Q17" s="120">
        <v>-1.1286</v>
      </c>
      <c r="R17" s="204">
        <v>1.5082</v>
      </c>
      <c r="S17" s="120">
        <v>-1.2422</v>
      </c>
      <c r="T17" s="204">
        <v>1.1565000000000001</v>
      </c>
      <c r="U17" s="120">
        <v>-0.76100000000000001</v>
      </c>
      <c r="V17" s="204">
        <v>1.4908999999999999</v>
      </c>
      <c r="W17" s="120">
        <v>-1.1304000000000001</v>
      </c>
      <c r="X17" s="204">
        <v>1.4739</v>
      </c>
      <c r="Y17" s="120">
        <v>-1.1838</v>
      </c>
      <c r="Z17" s="204">
        <v>1.4865999999999999</v>
      </c>
      <c r="AA17" s="121">
        <v>-1.1960999999999999</v>
      </c>
      <c r="AB17" s="197"/>
      <c r="AC17" s="114"/>
      <c r="AD17" s="114"/>
      <c r="AE17" s="114"/>
      <c r="AF17" s="114"/>
      <c r="AG17" s="114"/>
      <c r="AH17" s="114"/>
      <c r="AI17" s="48"/>
      <c r="AJ17" s="114"/>
      <c r="AK17" s="114"/>
      <c r="AL17" s="114"/>
      <c r="AM17" s="114"/>
      <c r="AN17" s="114"/>
      <c r="AO17" s="114"/>
      <c r="AP17" s="114"/>
      <c r="AQ17" s="48"/>
      <c r="AR17" s="114"/>
      <c r="AS17" s="114"/>
      <c r="AT17" s="114"/>
      <c r="AU17" s="114"/>
      <c r="AV17" s="114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</row>
    <row r="18" spans="1:78" x14ac:dyDescent="0.3">
      <c r="A18" s="9" t="s">
        <v>1</v>
      </c>
      <c r="B18" s="6">
        <v>3.9365999999999999</v>
      </c>
      <c r="C18" s="28">
        <v>-1.8023</v>
      </c>
      <c r="D18" s="6">
        <v>1.8153999999999999</v>
      </c>
      <c r="E18" s="28">
        <v>-0.38429999999999997</v>
      </c>
      <c r="F18" s="6">
        <v>0.93959999999999999</v>
      </c>
      <c r="G18" s="28">
        <v>0.51880000000000004</v>
      </c>
      <c r="H18" s="6">
        <v>1.3384</v>
      </c>
      <c r="I18" s="28">
        <v>5.28E-2</v>
      </c>
      <c r="J18" s="192"/>
      <c r="K18" s="206" t="s">
        <v>1</v>
      </c>
      <c r="L18" s="204">
        <v>3.9365999999999999</v>
      </c>
      <c r="M18" s="120">
        <v>-1.8023</v>
      </c>
      <c r="N18" s="204">
        <v>3.1023000000000001</v>
      </c>
      <c r="O18" s="120">
        <v>-1.2888999999999999</v>
      </c>
      <c r="P18" s="204">
        <v>2.8933</v>
      </c>
      <c r="Q18" s="120">
        <v>-1.1466000000000001</v>
      </c>
      <c r="R18" s="204">
        <v>2.9676999999999998</v>
      </c>
      <c r="S18" s="120">
        <v>-1.2095</v>
      </c>
      <c r="T18" s="204">
        <v>2.0629</v>
      </c>
      <c r="U18" s="120">
        <v>-0.53359999999999996</v>
      </c>
      <c r="V18" s="204">
        <v>2.6166999999999998</v>
      </c>
      <c r="W18" s="120">
        <v>-0.90790000000000004</v>
      </c>
      <c r="X18" s="204">
        <v>2.8532000000000002</v>
      </c>
      <c r="Y18" s="120">
        <v>-1.1194</v>
      </c>
      <c r="Z18" s="204">
        <v>3.0308000000000002</v>
      </c>
      <c r="AA18" s="121">
        <v>-1.2444999999999999</v>
      </c>
      <c r="AB18" s="198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</row>
    <row r="19" spans="1:78" x14ac:dyDescent="0.3">
      <c r="A19" s="9" t="s">
        <v>7</v>
      </c>
      <c r="B19" s="6">
        <v>5.6253000000000002</v>
      </c>
      <c r="C19" s="28">
        <v>-1.6941999999999999</v>
      </c>
      <c r="D19" s="6">
        <v>2.7408000000000001</v>
      </c>
      <c r="E19" s="28">
        <v>-0.39489999999999997</v>
      </c>
      <c r="F19" s="6">
        <v>1.4071</v>
      </c>
      <c r="G19" s="28">
        <v>0.5202</v>
      </c>
      <c r="H19" s="6">
        <v>1.9601</v>
      </c>
      <c r="I19" s="28">
        <v>8.6499999999999994E-2</v>
      </c>
      <c r="J19" s="192"/>
      <c r="K19" s="206" t="s">
        <v>7</v>
      </c>
      <c r="L19" s="204">
        <v>5.6253000000000002</v>
      </c>
      <c r="M19" s="120">
        <v>-1.6941999999999999</v>
      </c>
      <c r="N19" s="204">
        <v>4.6384999999999996</v>
      </c>
      <c r="O19" s="120">
        <v>-1.28</v>
      </c>
      <c r="P19" s="204">
        <v>4.6561000000000003</v>
      </c>
      <c r="Q19" s="120">
        <v>-1.2093</v>
      </c>
      <c r="R19" s="204">
        <v>4.5575000000000001</v>
      </c>
      <c r="S19" s="120">
        <v>-1.244</v>
      </c>
      <c r="T19" s="204">
        <v>3.0404</v>
      </c>
      <c r="U19" s="120">
        <v>-0.52029999999999998</v>
      </c>
      <c r="V19" s="204">
        <v>3.9228000000000001</v>
      </c>
      <c r="W19" s="120">
        <v>-0.92410000000000003</v>
      </c>
      <c r="X19" s="204">
        <v>4.3960999999999997</v>
      </c>
      <c r="Y19" s="120">
        <v>-1.1685000000000001</v>
      </c>
      <c r="Z19" s="204">
        <v>4.5831999999999997</v>
      </c>
      <c r="AA19" s="121">
        <v>-1.2656000000000001</v>
      </c>
      <c r="AB19" s="198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3"/>
      <c r="BW19" s="123"/>
      <c r="BX19" s="123"/>
      <c r="BY19" s="123"/>
      <c r="BZ19" s="123"/>
    </row>
    <row r="20" spans="1:78" x14ac:dyDescent="0.3">
      <c r="A20" s="9" t="s">
        <v>2</v>
      </c>
      <c r="B20" s="6">
        <v>7.3897000000000004</v>
      </c>
      <c r="C20" s="28">
        <v>-1.661</v>
      </c>
      <c r="D20" s="6">
        <v>3.6798000000000002</v>
      </c>
      <c r="E20" s="28">
        <v>-0.40600000000000003</v>
      </c>
      <c r="F20" s="6">
        <v>1.8502000000000001</v>
      </c>
      <c r="G20" s="28">
        <v>0.53710000000000002</v>
      </c>
      <c r="H20" s="6">
        <v>2.6164999999999998</v>
      </c>
      <c r="I20" s="28">
        <v>8.48E-2</v>
      </c>
      <c r="J20" s="192"/>
      <c r="K20" s="206" t="s">
        <v>2</v>
      </c>
      <c r="L20" s="204">
        <v>7.3897000000000004</v>
      </c>
      <c r="M20" s="120">
        <v>-1.661</v>
      </c>
      <c r="N20" s="204">
        <v>5.9794</v>
      </c>
      <c r="O20" s="120">
        <v>-1.2122999999999999</v>
      </c>
      <c r="P20" s="204">
        <v>6.0162000000000004</v>
      </c>
      <c r="Q20" s="120">
        <v>-1.1686000000000001</v>
      </c>
      <c r="R20" s="204">
        <v>5.6227999999999998</v>
      </c>
      <c r="S20" s="120">
        <v>-1.0593999999999999</v>
      </c>
      <c r="T20" s="204">
        <v>3.8791000000000002</v>
      </c>
      <c r="U20" s="120">
        <v>-0.45540000000000003</v>
      </c>
      <c r="V20" s="204">
        <v>4.8719000000000001</v>
      </c>
      <c r="W20" s="120">
        <v>-0.79849999999999999</v>
      </c>
      <c r="X20" s="204">
        <v>5.5412999999999997</v>
      </c>
      <c r="Y20" s="120">
        <v>-1.0641</v>
      </c>
      <c r="Z20" s="204">
        <v>6.0586000000000002</v>
      </c>
      <c r="AA20" s="121">
        <v>-1.2481</v>
      </c>
      <c r="AB20" s="198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23"/>
      <c r="BQ20" s="123"/>
      <c r="BR20" s="123"/>
      <c r="BS20" s="123"/>
      <c r="BT20" s="123"/>
      <c r="BU20" s="123"/>
      <c r="BV20" s="123"/>
      <c r="BW20" s="123"/>
      <c r="BX20" s="123"/>
      <c r="BY20" s="123"/>
      <c r="BZ20" s="123"/>
    </row>
    <row r="21" spans="1:78" x14ac:dyDescent="0.3">
      <c r="A21" s="9" t="s">
        <v>3</v>
      </c>
      <c r="B21" s="6">
        <v>9.0108999999999995</v>
      </c>
      <c r="C21" s="28">
        <v>-1.6057999999999999</v>
      </c>
      <c r="D21" s="6">
        <v>4.5476000000000001</v>
      </c>
      <c r="E21" s="28">
        <v>-0.38850000000000001</v>
      </c>
      <c r="F21" s="6">
        <v>2.3094999999999999</v>
      </c>
      <c r="G21" s="28">
        <v>0.53869999999999996</v>
      </c>
      <c r="H21" s="6">
        <v>3.2911000000000001</v>
      </c>
      <c r="I21" s="28">
        <v>7.5899999999999995E-2</v>
      </c>
      <c r="J21" s="192"/>
      <c r="K21" s="206" t="s">
        <v>3</v>
      </c>
      <c r="L21" s="204">
        <v>9.0108999999999995</v>
      </c>
      <c r="M21" s="120">
        <v>-1.6057999999999999</v>
      </c>
      <c r="N21" s="204">
        <v>7.2286000000000001</v>
      </c>
      <c r="O21" s="120">
        <v>-1.1492</v>
      </c>
      <c r="P21" s="204">
        <v>7.4672999999999998</v>
      </c>
      <c r="Q21" s="120">
        <v>-1.1625000000000001</v>
      </c>
      <c r="R21" s="204">
        <v>6.8105000000000002</v>
      </c>
      <c r="S21" s="120">
        <v>-1.0045999999999999</v>
      </c>
      <c r="T21" s="204">
        <v>5.0206</v>
      </c>
      <c r="U21" s="120">
        <v>-0.51119999999999999</v>
      </c>
      <c r="V21" s="204">
        <v>5.7736000000000001</v>
      </c>
      <c r="W21" s="120">
        <v>-0.69930000000000003</v>
      </c>
      <c r="X21" s="204">
        <v>6.6574</v>
      </c>
      <c r="Y21" s="120">
        <v>-0.99209999999999998</v>
      </c>
      <c r="Z21" s="204">
        <v>7.5460000000000003</v>
      </c>
      <c r="AA21" s="121">
        <v>-1.2419</v>
      </c>
      <c r="AB21" s="198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</row>
    <row r="22" spans="1:78" x14ac:dyDescent="0.3">
      <c r="A22" s="9" t="s">
        <v>4</v>
      </c>
      <c r="B22" s="6">
        <v>10.8558</v>
      </c>
      <c r="C22" s="28">
        <v>-1.6101000000000001</v>
      </c>
      <c r="D22" s="6">
        <v>5.48</v>
      </c>
      <c r="E22" s="28">
        <v>-0.39529999999999998</v>
      </c>
      <c r="F22" s="6">
        <v>2.7717000000000001</v>
      </c>
      <c r="G22" s="28">
        <v>0.53839999999999999</v>
      </c>
      <c r="H22" s="6">
        <v>3.9943</v>
      </c>
      <c r="I22" s="28">
        <v>6.0299999999999999E-2</v>
      </c>
      <c r="J22" s="192"/>
      <c r="K22" s="206" t="s">
        <v>4</v>
      </c>
      <c r="L22" s="204">
        <v>10.8558</v>
      </c>
      <c r="M22" s="120">
        <v>-1.6101000000000001</v>
      </c>
      <c r="N22" s="204">
        <v>8.8955000000000002</v>
      </c>
      <c r="O22" s="120">
        <v>-1.1964999999999999</v>
      </c>
      <c r="P22" s="204">
        <v>8.8475000000000001</v>
      </c>
      <c r="Q22" s="120">
        <v>-1.1449</v>
      </c>
      <c r="R22" s="204">
        <v>8.1128999999999998</v>
      </c>
      <c r="S22" s="120">
        <v>-0.996</v>
      </c>
      <c r="T22" s="204">
        <v>6.0389999999999997</v>
      </c>
      <c r="U22" s="120">
        <v>-0.50860000000000005</v>
      </c>
      <c r="V22" s="204">
        <v>6.6524000000000001</v>
      </c>
      <c r="W22" s="120">
        <v>-0.61460000000000004</v>
      </c>
      <c r="X22" s="204">
        <v>8.1834000000000007</v>
      </c>
      <c r="Y22" s="120">
        <v>-1.0377000000000001</v>
      </c>
      <c r="Z22" s="204">
        <v>9.1995000000000005</v>
      </c>
      <c r="AA22" s="121">
        <v>-1.2723</v>
      </c>
      <c r="AB22" s="198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</row>
    <row r="23" spans="1:78" x14ac:dyDescent="0.3">
      <c r="A23" s="9" t="s">
        <v>5</v>
      </c>
      <c r="B23" s="6">
        <v>12.5335</v>
      </c>
      <c r="C23" s="28">
        <v>-1.5864</v>
      </c>
      <c r="D23" s="6">
        <v>6.2826000000000004</v>
      </c>
      <c r="E23" s="28">
        <v>-0.3664</v>
      </c>
      <c r="F23" s="6">
        <v>3.2069000000000001</v>
      </c>
      <c r="G23" s="28">
        <v>0.54910000000000003</v>
      </c>
      <c r="H23" s="6">
        <v>4.6424000000000003</v>
      </c>
      <c r="I23" s="28">
        <v>6.5500000000000003E-2</v>
      </c>
      <c r="J23" s="192"/>
      <c r="K23" s="206" t="s">
        <v>5</v>
      </c>
      <c r="L23" s="204">
        <v>12.5335</v>
      </c>
      <c r="M23" s="120">
        <v>-1.5864</v>
      </c>
      <c r="N23" s="204">
        <v>10.286899999999999</v>
      </c>
      <c r="O23" s="120">
        <v>-1.1758999999999999</v>
      </c>
      <c r="P23" s="204">
        <v>10.230499999999999</v>
      </c>
      <c r="Q23" s="120">
        <v>-1.1297999999999999</v>
      </c>
      <c r="R23" s="204">
        <v>9.2394999999999996</v>
      </c>
      <c r="S23" s="120">
        <v>-0.95340000000000003</v>
      </c>
      <c r="T23" s="204">
        <v>6.9</v>
      </c>
      <c r="U23" s="120">
        <v>-0.46970000000000001</v>
      </c>
      <c r="V23" s="204">
        <v>7.5960000000000001</v>
      </c>
      <c r="W23" s="120">
        <v>-0.58499999999999996</v>
      </c>
      <c r="X23" s="204">
        <v>9.2026000000000003</v>
      </c>
      <c r="Y23" s="120">
        <v>-0.96679999999999999</v>
      </c>
      <c r="Z23" s="204">
        <v>10.735799999999999</v>
      </c>
      <c r="AA23" s="121">
        <v>-1.2726999999999999</v>
      </c>
      <c r="AB23" s="198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3"/>
      <c r="BP23" s="123"/>
      <c r="BQ23" s="123"/>
      <c r="BR23" s="123"/>
      <c r="BS23" s="123"/>
      <c r="BT23" s="123"/>
      <c r="BU23" s="123"/>
      <c r="BV23" s="123"/>
      <c r="BW23" s="123"/>
      <c r="BX23" s="123"/>
      <c r="BY23" s="123"/>
      <c r="BZ23" s="123"/>
    </row>
    <row r="24" spans="1:78" s="150" customFormat="1" ht="16.8" thickBot="1" x14ac:dyDescent="0.35">
      <c r="A24" s="18" t="s">
        <v>6</v>
      </c>
      <c r="B24" s="10">
        <v>14.352499999999999</v>
      </c>
      <c r="C24" s="29">
        <v>-1.5908</v>
      </c>
      <c r="D24" s="10">
        <v>7.1750999999999996</v>
      </c>
      <c r="E24" s="29">
        <v>-0.36470000000000002</v>
      </c>
      <c r="F24" s="10">
        <v>3.7099000000000002</v>
      </c>
      <c r="G24" s="29">
        <v>0.53449999999999998</v>
      </c>
      <c r="H24" s="10">
        <v>5.3484999999999996</v>
      </c>
      <c r="I24" s="29">
        <v>5.4899999999999997E-2</v>
      </c>
      <c r="J24" s="193"/>
      <c r="K24" s="207" t="s">
        <v>6</v>
      </c>
      <c r="L24" s="205">
        <v>14.352499999999999</v>
      </c>
      <c r="M24" s="203">
        <v>-1.5908</v>
      </c>
      <c r="N24" s="205">
        <v>11.732100000000001</v>
      </c>
      <c r="O24" s="203">
        <v>-1.1728000000000001</v>
      </c>
      <c r="P24" s="205">
        <v>11.703799999999999</v>
      </c>
      <c r="Q24" s="203">
        <v>-1.1374</v>
      </c>
      <c r="R24" s="205">
        <v>10.637700000000001</v>
      </c>
      <c r="S24" s="203">
        <v>-0.96960000000000002</v>
      </c>
      <c r="T24" s="205">
        <v>7.8304</v>
      </c>
      <c r="U24" s="203">
        <v>-0.45679999999999998</v>
      </c>
      <c r="V24" s="205">
        <v>8.7685999999999993</v>
      </c>
      <c r="W24" s="203">
        <v>-0.60270000000000001</v>
      </c>
      <c r="X24" s="205">
        <v>10.5566</v>
      </c>
      <c r="Y24" s="203">
        <v>-0.97419999999999995</v>
      </c>
      <c r="Z24" s="205">
        <v>12.035600000000001</v>
      </c>
      <c r="AA24" s="208">
        <v>-1.2218</v>
      </c>
      <c r="AB24" s="199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</row>
    <row r="25" spans="1:78" s="141" customFormat="1" x14ac:dyDescent="0.3">
      <c r="A25" s="228" t="s">
        <v>28</v>
      </c>
      <c r="B25" s="49" t="s">
        <v>0</v>
      </c>
      <c r="C25" s="50"/>
      <c r="D25" s="49" t="s">
        <v>17</v>
      </c>
      <c r="E25" s="50"/>
      <c r="F25" s="49" t="s">
        <v>18</v>
      </c>
      <c r="G25" s="50"/>
      <c r="H25" s="49" t="s">
        <v>19</v>
      </c>
      <c r="I25" s="50"/>
      <c r="J25" s="189"/>
      <c r="K25" s="209" t="s">
        <v>45</v>
      </c>
      <c r="L25" s="238" t="s">
        <v>41</v>
      </c>
      <c r="M25" s="239"/>
      <c r="N25" s="240" t="s">
        <v>28</v>
      </c>
      <c r="O25" s="240"/>
      <c r="P25" s="241" t="s">
        <v>29</v>
      </c>
      <c r="Q25" s="241"/>
      <c r="R25" s="242" t="s">
        <v>30</v>
      </c>
      <c r="S25" s="242"/>
      <c r="T25" s="243" t="s">
        <v>31</v>
      </c>
      <c r="U25" s="243"/>
      <c r="V25" s="244" t="s">
        <v>32</v>
      </c>
      <c r="W25" s="244"/>
      <c r="X25" s="235" t="s">
        <v>33</v>
      </c>
      <c r="Y25" s="235"/>
      <c r="Z25" s="236" t="s">
        <v>34</v>
      </c>
      <c r="AA25" s="237"/>
      <c r="AB25" s="200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8"/>
      <c r="BH25" s="138"/>
      <c r="BI25" s="138"/>
      <c r="BJ25" s="138"/>
      <c r="BK25" s="138"/>
      <c r="BL25" s="138"/>
      <c r="BM25" s="138"/>
      <c r="BN25" s="138"/>
      <c r="BO25" s="138"/>
      <c r="BP25" s="138"/>
      <c r="BQ25" s="138"/>
      <c r="BR25" s="138"/>
      <c r="BS25" s="138"/>
      <c r="BT25" s="138"/>
      <c r="BU25" s="138"/>
      <c r="BV25" s="138"/>
      <c r="BW25" s="138"/>
      <c r="BX25" s="138"/>
      <c r="BY25" s="138"/>
      <c r="BZ25" s="138"/>
    </row>
    <row r="26" spans="1:78" s="144" customFormat="1" ht="16.8" thickBot="1" x14ac:dyDescent="0.35">
      <c r="A26" s="229"/>
      <c r="B26" s="51" t="s">
        <v>25</v>
      </c>
      <c r="C26" s="52" t="s">
        <v>26</v>
      </c>
      <c r="D26" s="51" t="s">
        <v>25</v>
      </c>
      <c r="E26" s="52" t="s">
        <v>26</v>
      </c>
      <c r="F26" s="51" t="s">
        <v>25</v>
      </c>
      <c r="G26" s="52" t="s">
        <v>26</v>
      </c>
      <c r="H26" s="51" t="s">
        <v>25</v>
      </c>
      <c r="I26" s="52" t="s">
        <v>26</v>
      </c>
      <c r="J26" s="190"/>
      <c r="K26" s="210"/>
      <c r="L26" s="204" t="s">
        <v>42</v>
      </c>
      <c r="M26" s="120" t="s">
        <v>43</v>
      </c>
      <c r="N26" s="120" t="s">
        <v>42</v>
      </c>
      <c r="O26" s="120" t="s">
        <v>43</v>
      </c>
      <c r="P26" s="120" t="s">
        <v>42</v>
      </c>
      <c r="Q26" s="120" t="s">
        <v>43</v>
      </c>
      <c r="R26" s="120" t="s">
        <v>42</v>
      </c>
      <c r="S26" s="120" t="s">
        <v>43</v>
      </c>
      <c r="T26" s="120" t="s">
        <v>42</v>
      </c>
      <c r="U26" s="120" t="s">
        <v>43</v>
      </c>
      <c r="V26" s="120" t="s">
        <v>42</v>
      </c>
      <c r="W26" s="120" t="s">
        <v>43</v>
      </c>
      <c r="X26" s="120" t="s">
        <v>42</v>
      </c>
      <c r="Y26" s="120" t="s">
        <v>43</v>
      </c>
      <c r="Z26" s="120" t="s">
        <v>42</v>
      </c>
      <c r="AA26" s="121" t="s">
        <v>43</v>
      </c>
      <c r="AB26" s="196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</row>
    <row r="27" spans="1:78" s="147" customFormat="1" x14ac:dyDescent="0.3">
      <c r="A27" s="45" t="s">
        <v>10</v>
      </c>
      <c r="B27" s="46">
        <v>1.6608000000000001</v>
      </c>
      <c r="C27" s="47">
        <v>-1.4308000000000001</v>
      </c>
      <c r="D27" s="46">
        <v>0.85729999999999995</v>
      </c>
      <c r="E27" s="39">
        <v>-0.29599999999999999</v>
      </c>
      <c r="F27" s="46">
        <v>0.47370000000000001</v>
      </c>
      <c r="G27" s="39">
        <v>0.51419999999999999</v>
      </c>
      <c r="H27" s="46">
        <v>0.71750000000000003</v>
      </c>
      <c r="I27" s="39">
        <v>-4.4999999999999998E-2</v>
      </c>
      <c r="J27" s="194"/>
      <c r="K27" s="206" t="s">
        <v>44</v>
      </c>
      <c r="L27" s="204">
        <v>0.91279999999999994</v>
      </c>
      <c r="M27" s="120">
        <v>-0.39460000000000001</v>
      </c>
      <c r="N27" s="204">
        <v>0.85729999999999995</v>
      </c>
      <c r="O27" s="120">
        <v>-0.29599999999999999</v>
      </c>
      <c r="P27" s="204">
        <v>0.91080000000000005</v>
      </c>
      <c r="Q27" s="120">
        <v>-0.38779999999999998</v>
      </c>
      <c r="R27" s="204">
        <v>0.97829999999999995</v>
      </c>
      <c r="S27" s="120">
        <v>-0.49859999999999999</v>
      </c>
      <c r="T27" s="204">
        <v>0.85260000000000002</v>
      </c>
      <c r="U27" s="120">
        <v>-0.28489999999999999</v>
      </c>
      <c r="V27" s="204">
        <v>1.0707</v>
      </c>
      <c r="W27" s="120">
        <v>-0.64700000000000002</v>
      </c>
      <c r="X27" s="204">
        <v>0.88590000000000002</v>
      </c>
      <c r="Y27" s="120">
        <v>-0.34910000000000002</v>
      </c>
      <c r="Z27" s="204">
        <v>0.81579999999999997</v>
      </c>
      <c r="AA27" s="121">
        <v>-0.23</v>
      </c>
      <c r="AB27" s="201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</row>
    <row r="28" spans="1:78" x14ac:dyDescent="0.3">
      <c r="A28" s="8" t="s">
        <v>1</v>
      </c>
      <c r="B28" s="7">
        <v>3.1023000000000001</v>
      </c>
      <c r="C28" s="27">
        <v>-1.2888999999999999</v>
      </c>
      <c r="D28" s="7">
        <v>1.6047</v>
      </c>
      <c r="E28" s="27">
        <v>-0.19500000000000001</v>
      </c>
      <c r="F28" s="7">
        <v>0.85370000000000001</v>
      </c>
      <c r="G28" s="27">
        <v>0.64880000000000004</v>
      </c>
      <c r="H28" s="7">
        <v>1.3667</v>
      </c>
      <c r="I28" s="27">
        <v>2.3400000000000001E-2</v>
      </c>
      <c r="J28" s="195"/>
      <c r="K28" s="206" t="s">
        <v>1</v>
      </c>
      <c r="L28" s="204">
        <v>1.8153999999999999</v>
      </c>
      <c r="M28" s="120">
        <v>-0.38429999999999997</v>
      </c>
      <c r="N28" s="204">
        <v>1.6047</v>
      </c>
      <c r="O28" s="120">
        <v>-0.19500000000000001</v>
      </c>
      <c r="P28" s="204">
        <v>1.7661</v>
      </c>
      <c r="Q28" s="120">
        <v>-0.34279999999999999</v>
      </c>
      <c r="R28" s="204">
        <v>1.8011999999999999</v>
      </c>
      <c r="S28" s="120">
        <v>-0.3659</v>
      </c>
      <c r="T28" s="204">
        <v>1.6632</v>
      </c>
      <c r="U28" s="120">
        <v>-0.2457</v>
      </c>
      <c r="V28" s="204">
        <v>2.0476000000000001</v>
      </c>
      <c r="W28" s="120">
        <v>-0.57320000000000004</v>
      </c>
      <c r="X28" s="204">
        <v>1.7199</v>
      </c>
      <c r="Y28" s="120">
        <v>-0.30359999999999998</v>
      </c>
      <c r="Z28" s="204">
        <v>1.5798000000000001</v>
      </c>
      <c r="AA28" s="121">
        <v>-0.18140000000000001</v>
      </c>
      <c r="AB28" s="202"/>
      <c r="AC28" s="118"/>
      <c r="AD28" s="118"/>
      <c r="AE28" s="118"/>
      <c r="AF28" s="118"/>
      <c r="AG28" s="118"/>
      <c r="AH28" s="118"/>
      <c r="AI28" s="93"/>
      <c r="AJ28" s="118"/>
      <c r="AK28" s="118"/>
      <c r="AL28" s="118"/>
      <c r="AM28" s="118"/>
      <c r="AN28" s="118"/>
      <c r="AO28" s="118"/>
      <c r="AP28" s="118"/>
      <c r="AQ28" s="93"/>
      <c r="AR28" s="118"/>
      <c r="AS28" s="118"/>
      <c r="AT28" s="118"/>
      <c r="AU28" s="118"/>
      <c r="AV28" s="118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/>
      <c r="BQ28" s="123"/>
      <c r="BR28" s="123"/>
      <c r="BS28" s="123"/>
      <c r="BT28" s="123"/>
      <c r="BU28" s="123"/>
      <c r="BV28" s="123"/>
      <c r="BW28" s="123"/>
      <c r="BX28" s="123"/>
      <c r="BY28" s="123"/>
      <c r="BZ28" s="123"/>
    </row>
    <row r="29" spans="1:78" x14ac:dyDescent="0.3">
      <c r="A29" s="9" t="s">
        <v>7</v>
      </c>
      <c r="B29" s="6">
        <v>4.6384999999999996</v>
      </c>
      <c r="C29" s="28">
        <v>-1.28</v>
      </c>
      <c r="D29" s="6">
        <v>2.3946000000000001</v>
      </c>
      <c r="E29" s="28">
        <v>-0.18959999999999999</v>
      </c>
      <c r="F29" s="6">
        <v>1.2744</v>
      </c>
      <c r="G29" s="28">
        <v>0.65159999999999996</v>
      </c>
      <c r="H29" s="6">
        <v>2.1065</v>
      </c>
      <c r="I29" s="28">
        <v>-1.43E-2</v>
      </c>
      <c r="J29" s="192"/>
      <c r="K29" s="206" t="s">
        <v>7</v>
      </c>
      <c r="L29" s="204">
        <v>2.7408000000000001</v>
      </c>
      <c r="M29" s="120">
        <v>-0.39489999999999997</v>
      </c>
      <c r="N29" s="204">
        <v>2.3946000000000001</v>
      </c>
      <c r="O29" s="120">
        <v>-0.18959999999999999</v>
      </c>
      <c r="P29" s="204">
        <v>2.5910000000000002</v>
      </c>
      <c r="Q29" s="120">
        <v>-0.30690000000000001</v>
      </c>
      <c r="R29" s="204">
        <v>2.6023000000000001</v>
      </c>
      <c r="S29" s="120">
        <v>-0.31040000000000001</v>
      </c>
      <c r="T29" s="204">
        <v>2.4984000000000002</v>
      </c>
      <c r="U29" s="120">
        <v>-0.25109999999999999</v>
      </c>
      <c r="V29" s="204">
        <v>2.9497</v>
      </c>
      <c r="W29" s="120">
        <v>-0.50660000000000005</v>
      </c>
      <c r="X29" s="204">
        <v>2.5223</v>
      </c>
      <c r="Y29" s="120">
        <v>-0.2697</v>
      </c>
      <c r="Z29" s="204">
        <v>2.3473000000000002</v>
      </c>
      <c r="AA29" s="121">
        <v>-0.16739999999999999</v>
      </c>
      <c r="AB29" s="198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23"/>
      <c r="BQ29" s="123"/>
      <c r="BR29" s="123"/>
      <c r="BS29" s="123"/>
      <c r="BT29" s="123"/>
      <c r="BU29" s="123"/>
      <c r="BV29" s="123"/>
      <c r="BW29" s="123"/>
      <c r="BX29" s="123"/>
      <c r="BY29" s="123"/>
      <c r="BZ29" s="123"/>
    </row>
    <row r="30" spans="1:78" x14ac:dyDescent="0.3">
      <c r="A30" s="9" t="s">
        <v>2</v>
      </c>
      <c r="B30" s="6">
        <v>5.9794</v>
      </c>
      <c r="C30" s="28">
        <v>-1.2122999999999999</v>
      </c>
      <c r="D30" s="6">
        <v>3.2682000000000002</v>
      </c>
      <c r="E30" s="28">
        <v>-0.224</v>
      </c>
      <c r="F30" s="6">
        <v>1.6385000000000001</v>
      </c>
      <c r="G30" s="28">
        <v>0.69579999999999997</v>
      </c>
      <c r="H30" s="6">
        <v>2.8233000000000001</v>
      </c>
      <c r="I30" s="28">
        <v>-2.1899999999999999E-2</v>
      </c>
      <c r="J30" s="192"/>
      <c r="K30" s="206" t="s">
        <v>2</v>
      </c>
      <c r="L30" s="204">
        <v>3.6798000000000002</v>
      </c>
      <c r="M30" s="120">
        <v>-0.40600000000000003</v>
      </c>
      <c r="N30" s="204">
        <v>3.2682000000000002</v>
      </c>
      <c r="O30" s="120">
        <v>-0.224</v>
      </c>
      <c r="P30" s="204">
        <v>3.4891000000000001</v>
      </c>
      <c r="Q30" s="120">
        <v>-0.32290000000000002</v>
      </c>
      <c r="R30" s="204">
        <v>3.3018999999999998</v>
      </c>
      <c r="S30" s="120">
        <v>-0.23230000000000001</v>
      </c>
      <c r="T30" s="204">
        <v>3.2023000000000001</v>
      </c>
      <c r="U30" s="120">
        <v>-0.192</v>
      </c>
      <c r="V30" s="204">
        <v>3.8664999999999998</v>
      </c>
      <c r="W30" s="120">
        <v>-0.48110000000000003</v>
      </c>
      <c r="X30" s="204">
        <v>3.3138000000000001</v>
      </c>
      <c r="Y30" s="120">
        <v>-0.24759999999999999</v>
      </c>
      <c r="Z30" s="204">
        <v>3.2418</v>
      </c>
      <c r="AA30" s="121">
        <v>-0.217</v>
      </c>
      <c r="AB30" s="198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3"/>
      <c r="BP30" s="123"/>
      <c r="BQ30" s="123"/>
      <c r="BR30" s="123"/>
      <c r="BS30" s="123"/>
      <c r="BT30" s="123"/>
      <c r="BU30" s="123"/>
      <c r="BV30" s="123"/>
      <c r="BW30" s="123"/>
      <c r="BX30" s="123"/>
      <c r="BY30" s="123"/>
      <c r="BZ30" s="123"/>
    </row>
    <row r="31" spans="1:78" x14ac:dyDescent="0.3">
      <c r="A31" s="9" t="s">
        <v>3</v>
      </c>
      <c r="B31" s="6">
        <v>7.2286000000000001</v>
      </c>
      <c r="C31" s="28">
        <v>-1.1492</v>
      </c>
      <c r="D31" s="6">
        <v>4.0885999999999996</v>
      </c>
      <c r="E31" s="28">
        <v>-0.22559999999999999</v>
      </c>
      <c r="F31" s="6">
        <v>2.0655999999999999</v>
      </c>
      <c r="G31" s="28">
        <v>0.68379999999999996</v>
      </c>
      <c r="H31" s="6">
        <v>3.5428000000000002</v>
      </c>
      <c r="I31" s="28">
        <v>-2.7300000000000001E-2</v>
      </c>
      <c r="J31" s="192"/>
      <c r="K31" s="206" t="s">
        <v>3</v>
      </c>
      <c r="L31" s="204">
        <v>4.5476000000000001</v>
      </c>
      <c r="M31" s="120">
        <v>-0.38850000000000001</v>
      </c>
      <c r="N31" s="204">
        <v>4.0885999999999996</v>
      </c>
      <c r="O31" s="120">
        <v>-0.22559999999999999</v>
      </c>
      <c r="P31" s="204">
        <v>4.3148999999999997</v>
      </c>
      <c r="Q31" s="120">
        <v>-0.3075</v>
      </c>
      <c r="R31" s="204">
        <v>3.9771999999999998</v>
      </c>
      <c r="S31" s="120">
        <v>-0.17730000000000001</v>
      </c>
      <c r="T31" s="204">
        <v>3.931</v>
      </c>
      <c r="U31" s="120">
        <v>-0.1656</v>
      </c>
      <c r="V31" s="204">
        <v>4.8216000000000001</v>
      </c>
      <c r="W31" s="120">
        <v>-0.47699999999999998</v>
      </c>
      <c r="X31" s="204">
        <v>4.1395999999999997</v>
      </c>
      <c r="Y31" s="120">
        <v>-0.2457</v>
      </c>
      <c r="Z31" s="204">
        <v>4.0919999999999996</v>
      </c>
      <c r="AA31" s="121">
        <v>-0.2316</v>
      </c>
      <c r="AB31" s="198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3"/>
      <c r="BK31" s="123"/>
      <c r="BL31" s="123"/>
      <c r="BM31" s="123"/>
      <c r="BN31" s="123"/>
      <c r="BO31" s="123"/>
      <c r="BP31" s="123"/>
      <c r="BQ31" s="123"/>
      <c r="BR31" s="123"/>
      <c r="BS31" s="123"/>
      <c r="BT31" s="123"/>
      <c r="BU31" s="123"/>
      <c r="BV31" s="123"/>
      <c r="BW31" s="123"/>
      <c r="BX31" s="123"/>
      <c r="BY31" s="123"/>
      <c r="BZ31" s="123"/>
    </row>
    <row r="32" spans="1:78" x14ac:dyDescent="0.3">
      <c r="A32" s="9" t="s">
        <v>4</v>
      </c>
      <c r="B32" s="6">
        <v>8.8955000000000002</v>
      </c>
      <c r="C32" s="28">
        <v>-1.1964999999999999</v>
      </c>
      <c r="D32" s="6">
        <v>4.9268000000000001</v>
      </c>
      <c r="E32" s="28">
        <v>-0.2326</v>
      </c>
      <c r="F32" s="6">
        <v>2.5129000000000001</v>
      </c>
      <c r="G32" s="28">
        <v>0.66649999999999998</v>
      </c>
      <c r="H32" s="6">
        <v>4.2393000000000001</v>
      </c>
      <c r="I32" s="28">
        <v>-2.35E-2</v>
      </c>
      <c r="J32" s="192"/>
      <c r="K32" s="206" t="s">
        <v>4</v>
      </c>
      <c r="L32" s="204">
        <v>5.48</v>
      </c>
      <c r="M32" s="120">
        <v>-0.39529999999999998</v>
      </c>
      <c r="N32" s="204">
        <v>4.9268000000000001</v>
      </c>
      <c r="O32" s="120">
        <v>-0.2326</v>
      </c>
      <c r="P32" s="204">
        <v>5.2096999999999998</v>
      </c>
      <c r="Q32" s="120">
        <v>-0.31640000000000001</v>
      </c>
      <c r="R32" s="204">
        <v>4.8632</v>
      </c>
      <c r="S32" s="120">
        <v>-0.20399999999999999</v>
      </c>
      <c r="T32" s="204">
        <v>4.8007</v>
      </c>
      <c r="U32" s="120">
        <v>-0.19170000000000001</v>
      </c>
      <c r="V32" s="204">
        <v>5.8486000000000002</v>
      </c>
      <c r="W32" s="120">
        <v>-0.49380000000000002</v>
      </c>
      <c r="X32" s="204">
        <v>4.9653</v>
      </c>
      <c r="Y32" s="120">
        <v>-0.24429999999999999</v>
      </c>
      <c r="Z32" s="204">
        <v>4.9500999999999999</v>
      </c>
      <c r="AA32" s="121">
        <v>-0.2419</v>
      </c>
      <c r="AB32" s="198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123"/>
      <c r="BT32" s="123"/>
      <c r="BU32" s="123"/>
      <c r="BV32" s="123"/>
      <c r="BW32" s="123"/>
      <c r="BX32" s="123"/>
      <c r="BY32" s="123"/>
      <c r="BZ32" s="123"/>
    </row>
    <row r="33" spans="1:78" x14ac:dyDescent="0.3">
      <c r="A33" s="9" t="s">
        <v>5</v>
      </c>
      <c r="B33" s="6">
        <v>10.286899999999999</v>
      </c>
      <c r="C33" s="28">
        <v>-1.1758999999999999</v>
      </c>
      <c r="D33" s="6">
        <v>5.6341000000000001</v>
      </c>
      <c r="E33" s="28">
        <v>-0.20269999999999999</v>
      </c>
      <c r="F33" s="6">
        <v>2.9209000000000001</v>
      </c>
      <c r="G33" s="28">
        <v>0.67179999999999995</v>
      </c>
      <c r="H33" s="6">
        <v>4.9566999999999997</v>
      </c>
      <c r="I33" s="28">
        <v>-2.63E-2</v>
      </c>
      <c r="J33" s="192"/>
      <c r="K33" s="206" t="s">
        <v>5</v>
      </c>
      <c r="L33" s="204">
        <v>6.2826000000000004</v>
      </c>
      <c r="M33" s="120">
        <v>-0.3664</v>
      </c>
      <c r="N33" s="204">
        <v>5.6341000000000001</v>
      </c>
      <c r="O33" s="120">
        <v>-0.20269999999999999</v>
      </c>
      <c r="P33" s="204">
        <v>6.0326000000000004</v>
      </c>
      <c r="Q33" s="120">
        <v>-0.30580000000000002</v>
      </c>
      <c r="R33" s="204">
        <v>5.5762</v>
      </c>
      <c r="S33" s="120">
        <v>-0.1787</v>
      </c>
      <c r="T33" s="204">
        <v>5.5292000000000003</v>
      </c>
      <c r="U33" s="120">
        <v>-0.17269999999999999</v>
      </c>
      <c r="V33" s="204">
        <v>6.7868000000000004</v>
      </c>
      <c r="W33" s="120">
        <v>-0.48609999999999998</v>
      </c>
      <c r="X33" s="204">
        <v>5.7599</v>
      </c>
      <c r="Y33" s="120">
        <v>-0.2364</v>
      </c>
      <c r="Z33" s="204">
        <v>5.7782999999999998</v>
      </c>
      <c r="AA33" s="121">
        <v>-0.24249999999999999</v>
      </c>
      <c r="AB33" s="198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3"/>
      <c r="BO33" s="123"/>
      <c r="BP33" s="123"/>
      <c r="BQ33" s="123"/>
      <c r="BR33" s="123"/>
      <c r="BS33" s="123"/>
      <c r="BT33" s="123"/>
      <c r="BU33" s="123"/>
      <c r="BV33" s="123"/>
      <c r="BW33" s="123"/>
      <c r="BX33" s="123"/>
      <c r="BY33" s="123"/>
      <c r="BZ33" s="123"/>
    </row>
    <row r="34" spans="1:78" s="150" customFormat="1" ht="16.8" thickBot="1" x14ac:dyDescent="0.35">
      <c r="A34" s="18" t="s">
        <v>6</v>
      </c>
      <c r="B34" s="10">
        <v>11.732100000000001</v>
      </c>
      <c r="C34" s="29">
        <v>-1.1728000000000001</v>
      </c>
      <c r="D34" s="10">
        <v>6.4791999999999996</v>
      </c>
      <c r="E34" s="29">
        <v>-0.21190000000000001</v>
      </c>
      <c r="F34" s="10">
        <v>3.3445999999999998</v>
      </c>
      <c r="G34" s="29">
        <v>0.66930000000000001</v>
      </c>
      <c r="H34" s="10">
        <v>5.6791999999999998</v>
      </c>
      <c r="I34" s="29">
        <v>-2.9399999999999999E-2</v>
      </c>
      <c r="J34" s="193"/>
      <c r="K34" s="207" t="s">
        <v>6</v>
      </c>
      <c r="L34" s="205">
        <v>7.1750999999999996</v>
      </c>
      <c r="M34" s="203">
        <v>-0.36470000000000002</v>
      </c>
      <c r="N34" s="205">
        <v>6.4791999999999996</v>
      </c>
      <c r="O34" s="203">
        <v>-0.21190000000000001</v>
      </c>
      <c r="P34" s="205">
        <v>6.9627999999999997</v>
      </c>
      <c r="Q34" s="203">
        <v>-0.32040000000000002</v>
      </c>
      <c r="R34" s="205">
        <v>6.4501999999999997</v>
      </c>
      <c r="S34" s="203">
        <v>-0.19650000000000001</v>
      </c>
      <c r="T34" s="205">
        <v>6.4286000000000003</v>
      </c>
      <c r="U34" s="203">
        <v>-0.19670000000000001</v>
      </c>
      <c r="V34" s="205">
        <v>7.7222</v>
      </c>
      <c r="W34" s="203">
        <v>-0.47949999999999998</v>
      </c>
      <c r="X34" s="205">
        <v>6.5587999999999997</v>
      </c>
      <c r="Y34" s="203">
        <v>-0.2316</v>
      </c>
      <c r="Z34" s="205">
        <v>6.5723000000000003</v>
      </c>
      <c r="AA34" s="208">
        <v>-0.23599999999999999</v>
      </c>
      <c r="AB34" s="199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</row>
    <row r="35" spans="1:78" s="141" customFormat="1" x14ac:dyDescent="0.3">
      <c r="A35" s="214" t="s">
        <v>29</v>
      </c>
      <c r="B35" s="11" t="s">
        <v>0</v>
      </c>
      <c r="C35" s="31"/>
      <c r="D35" s="11" t="s">
        <v>17</v>
      </c>
      <c r="E35" s="31"/>
      <c r="F35" s="11" t="s">
        <v>18</v>
      </c>
      <c r="G35" s="31"/>
      <c r="H35" s="11" t="s">
        <v>19</v>
      </c>
      <c r="I35" s="31"/>
      <c r="J35" s="189"/>
      <c r="K35" s="209" t="s">
        <v>46</v>
      </c>
      <c r="L35" s="238" t="s">
        <v>41</v>
      </c>
      <c r="M35" s="239"/>
      <c r="N35" s="240" t="s">
        <v>28</v>
      </c>
      <c r="O35" s="240"/>
      <c r="P35" s="241" t="s">
        <v>29</v>
      </c>
      <c r="Q35" s="241"/>
      <c r="R35" s="242" t="s">
        <v>30</v>
      </c>
      <c r="S35" s="242"/>
      <c r="T35" s="243" t="s">
        <v>31</v>
      </c>
      <c r="U35" s="243"/>
      <c r="V35" s="244" t="s">
        <v>32</v>
      </c>
      <c r="W35" s="244"/>
      <c r="X35" s="235" t="s">
        <v>33</v>
      </c>
      <c r="Y35" s="235"/>
      <c r="Z35" s="236" t="s">
        <v>34</v>
      </c>
      <c r="AA35" s="237"/>
      <c r="AB35" s="200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</row>
    <row r="36" spans="1:78" s="144" customFormat="1" ht="16.8" thickBot="1" x14ac:dyDescent="0.35">
      <c r="A36" s="215"/>
      <c r="B36" s="53" t="s">
        <v>25</v>
      </c>
      <c r="C36" s="54" t="s">
        <v>26</v>
      </c>
      <c r="D36" s="53" t="s">
        <v>25</v>
      </c>
      <c r="E36" s="54" t="s">
        <v>26</v>
      </c>
      <c r="F36" s="53" t="s">
        <v>25</v>
      </c>
      <c r="G36" s="54" t="s">
        <v>26</v>
      </c>
      <c r="H36" s="53" t="s">
        <v>25</v>
      </c>
      <c r="I36" s="54" t="s">
        <v>26</v>
      </c>
      <c r="J36" s="190"/>
      <c r="K36" s="210"/>
      <c r="L36" s="204" t="s">
        <v>42</v>
      </c>
      <c r="M36" s="120" t="s">
        <v>43</v>
      </c>
      <c r="N36" s="120" t="s">
        <v>42</v>
      </c>
      <c r="O36" s="120" t="s">
        <v>43</v>
      </c>
      <c r="P36" s="120" t="s">
        <v>42</v>
      </c>
      <c r="Q36" s="120" t="s">
        <v>43</v>
      </c>
      <c r="R36" s="120" t="s">
        <v>42</v>
      </c>
      <c r="S36" s="120" t="s">
        <v>43</v>
      </c>
      <c r="T36" s="120" t="s">
        <v>42</v>
      </c>
      <c r="U36" s="120" t="s">
        <v>43</v>
      </c>
      <c r="V36" s="120" t="s">
        <v>42</v>
      </c>
      <c r="W36" s="120" t="s">
        <v>43</v>
      </c>
      <c r="X36" s="120" t="s">
        <v>42</v>
      </c>
      <c r="Y36" s="120" t="s">
        <v>43</v>
      </c>
      <c r="Z36" s="120" t="s">
        <v>42</v>
      </c>
      <c r="AA36" s="121" t="s">
        <v>43</v>
      </c>
      <c r="AB36" s="196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</row>
    <row r="37" spans="1:78" s="147" customFormat="1" x14ac:dyDescent="0.3">
      <c r="A37" s="45" t="s">
        <v>10</v>
      </c>
      <c r="B37" s="46">
        <v>1.4298</v>
      </c>
      <c r="C37" s="47">
        <v>-1.1286</v>
      </c>
      <c r="D37" s="46">
        <v>0.91080000000000005</v>
      </c>
      <c r="E37" s="39">
        <v>-0.38779999999999998</v>
      </c>
      <c r="F37" s="46">
        <v>0.49640000000000001</v>
      </c>
      <c r="G37" s="39">
        <v>0.4536</v>
      </c>
      <c r="H37" s="46">
        <v>0.68220000000000003</v>
      </c>
      <c r="I37" s="39">
        <v>2.6499999999999999E-2</v>
      </c>
      <c r="J37" s="194"/>
      <c r="K37" s="206" t="s">
        <v>44</v>
      </c>
      <c r="L37" s="204">
        <v>0.49070000000000003</v>
      </c>
      <c r="M37" s="120">
        <v>0.46189999999999998</v>
      </c>
      <c r="N37" s="204">
        <v>0.47370000000000001</v>
      </c>
      <c r="O37" s="120">
        <v>0.51419999999999999</v>
      </c>
      <c r="P37" s="204">
        <v>0.49640000000000001</v>
      </c>
      <c r="Q37" s="120">
        <v>0.4536</v>
      </c>
      <c r="R37" s="204">
        <v>0.54959999999999998</v>
      </c>
      <c r="S37" s="120">
        <v>0.33150000000000002</v>
      </c>
      <c r="T37" s="204">
        <v>0.37469999999999998</v>
      </c>
      <c r="U37" s="120">
        <v>0.79749999999999999</v>
      </c>
      <c r="V37" s="204">
        <v>0.51380000000000003</v>
      </c>
      <c r="W37" s="120">
        <v>0.40770000000000001</v>
      </c>
      <c r="X37" s="204">
        <v>0.43659999999999999</v>
      </c>
      <c r="Y37" s="120">
        <v>0.60870000000000002</v>
      </c>
      <c r="Z37" s="204">
        <v>0.4123</v>
      </c>
      <c r="AA37" s="121">
        <v>0.68459999999999999</v>
      </c>
      <c r="AB37" s="201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</row>
    <row r="38" spans="1:78" x14ac:dyDescent="0.3">
      <c r="A38" s="9" t="s">
        <v>1</v>
      </c>
      <c r="B38" s="6">
        <v>2.8933</v>
      </c>
      <c r="C38" s="28">
        <v>-1.1466000000000001</v>
      </c>
      <c r="D38" s="6">
        <v>1.7661</v>
      </c>
      <c r="E38" s="28">
        <v>-0.34279999999999999</v>
      </c>
      <c r="F38" s="6">
        <v>0.91090000000000004</v>
      </c>
      <c r="G38" s="28">
        <v>0.56120000000000003</v>
      </c>
      <c r="H38" s="6">
        <v>1.3380000000000001</v>
      </c>
      <c r="I38" s="28">
        <v>5.28E-2</v>
      </c>
      <c r="J38" s="192"/>
      <c r="K38" s="206" t="s">
        <v>1</v>
      </c>
      <c r="L38" s="204">
        <v>0.93959999999999999</v>
      </c>
      <c r="M38" s="120">
        <v>0.51880000000000004</v>
      </c>
      <c r="N38" s="204">
        <v>0.85370000000000001</v>
      </c>
      <c r="O38" s="120">
        <v>0.64880000000000004</v>
      </c>
      <c r="P38" s="204">
        <v>0.91090000000000004</v>
      </c>
      <c r="Q38" s="120">
        <v>0.56120000000000003</v>
      </c>
      <c r="R38" s="204">
        <v>1.0007999999999999</v>
      </c>
      <c r="S38" s="120">
        <v>0.45119999999999999</v>
      </c>
      <c r="T38" s="204">
        <v>0.7702</v>
      </c>
      <c r="U38" s="120">
        <v>0.76480000000000004</v>
      </c>
      <c r="V38" s="204">
        <v>0.9637</v>
      </c>
      <c r="W38" s="120">
        <v>0.49130000000000001</v>
      </c>
      <c r="X38" s="204">
        <v>0.85709999999999997</v>
      </c>
      <c r="Y38" s="120">
        <v>0.63349999999999995</v>
      </c>
      <c r="Z38" s="204">
        <v>0.77900000000000003</v>
      </c>
      <c r="AA38" s="121">
        <v>0.75460000000000005</v>
      </c>
      <c r="AB38" s="198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</row>
    <row r="39" spans="1:78" x14ac:dyDescent="0.3">
      <c r="A39" s="8" t="s">
        <v>7</v>
      </c>
      <c r="B39" s="7">
        <v>4.6561000000000003</v>
      </c>
      <c r="C39" s="27">
        <v>-1.2093</v>
      </c>
      <c r="D39" s="7">
        <v>2.5910000000000002</v>
      </c>
      <c r="E39" s="27">
        <v>-0.30690000000000001</v>
      </c>
      <c r="F39" s="7">
        <v>1.3507</v>
      </c>
      <c r="G39" s="27">
        <v>0.57469999999999999</v>
      </c>
      <c r="H39" s="7">
        <v>1.9984999999999999</v>
      </c>
      <c r="I39" s="27">
        <v>5.8500000000000003E-2</v>
      </c>
      <c r="J39" s="195"/>
      <c r="K39" s="206" t="s">
        <v>7</v>
      </c>
      <c r="L39" s="204">
        <v>1.4071</v>
      </c>
      <c r="M39" s="120">
        <v>0.5202</v>
      </c>
      <c r="N39" s="204">
        <v>1.2744</v>
      </c>
      <c r="O39" s="120">
        <v>0.65159999999999996</v>
      </c>
      <c r="P39" s="204">
        <v>1.3507</v>
      </c>
      <c r="Q39" s="120">
        <v>0.57469999999999999</v>
      </c>
      <c r="R39" s="204">
        <v>1.4612000000000001</v>
      </c>
      <c r="S39" s="120">
        <v>0.48499999999999999</v>
      </c>
      <c r="T39" s="204">
        <v>1.1161000000000001</v>
      </c>
      <c r="U39" s="120">
        <v>0.81089999999999995</v>
      </c>
      <c r="V39" s="204">
        <v>1.4245000000000001</v>
      </c>
      <c r="W39" s="120">
        <v>0.50980000000000003</v>
      </c>
      <c r="X39" s="204">
        <v>1.2843</v>
      </c>
      <c r="Y39" s="120">
        <v>0.63490000000000002</v>
      </c>
      <c r="Z39" s="204">
        <v>1.1627000000000001</v>
      </c>
      <c r="AA39" s="121">
        <v>0.75649999999999995</v>
      </c>
      <c r="AB39" s="202"/>
      <c r="AC39" s="118"/>
      <c r="AD39" s="118"/>
      <c r="AE39" s="118"/>
      <c r="AF39" s="118"/>
      <c r="AG39" s="118"/>
      <c r="AH39" s="118"/>
      <c r="AI39" s="93"/>
      <c r="AJ39" s="118"/>
      <c r="AK39" s="118"/>
      <c r="AL39" s="118"/>
      <c r="AM39" s="118"/>
      <c r="AN39" s="118"/>
      <c r="AO39" s="118"/>
      <c r="AP39" s="118"/>
      <c r="AQ39" s="93"/>
      <c r="AR39" s="118"/>
      <c r="AS39" s="118"/>
      <c r="AT39" s="118"/>
      <c r="AU39" s="118"/>
      <c r="AV39" s="118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</row>
    <row r="40" spans="1:78" x14ac:dyDescent="0.3">
      <c r="A40" s="9" t="s">
        <v>2</v>
      </c>
      <c r="B40" s="6">
        <v>6.0162000000000004</v>
      </c>
      <c r="C40" s="28">
        <v>-1.1686000000000001</v>
      </c>
      <c r="D40" s="6">
        <v>3.4891000000000001</v>
      </c>
      <c r="E40" s="28">
        <v>-0.32290000000000002</v>
      </c>
      <c r="F40" s="6">
        <v>1.7786999999999999</v>
      </c>
      <c r="G40" s="28">
        <v>0.58930000000000005</v>
      </c>
      <c r="H40" s="6">
        <v>2.6291000000000002</v>
      </c>
      <c r="I40" s="28">
        <v>7.7100000000000002E-2</v>
      </c>
      <c r="J40" s="192"/>
      <c r="K40" s="206" t="s">
        <v>2</v>
      </c>
      <c r="L40" s="204">
        <v>1.8502000000000001</v>
      </c>
      <c r="M40" s="120">
        <v>0.53710000000000002</v>
      </c>
      <c r="N40" s="204">
        <v>1.6385000000000001</v>
      </c>
      <c r="O40" s="120">
        <v>0.69579999999999997</v>
      </c>
      <c r="P40" s="204">
        <v>1.7786999999999999</v>
      </c>
      <c r="Q40" s="120">
        <v>0.58930000000000005</v>
      </c>
      <c r="R40" s="204">
        <v>1.9161999999999999</v>
      </c>
      <c r="S40" s="120">
        <v>0.50449999999999995</v>
      </c>
      <c r="T40" s="204">
        <v>1.3853</v>
      </c>
      <c r="U40" s="120">
        <v>0.9032</v>
      </c>
      <c r="V40" s="204">
        <v>1.7715000000000001</v>
      </c>
      <c r="W40" s="120">
        <v>0.60440000000000005</v>
      </c>
      <c r="X40" s="204">
        <v>1.7134</v>
      </c>
      <c r="Y40" s="120">
        <v>0.63319999999999999</v>
      </c>
      <c r="Z40" s="204">
        <v>1.5730999999999999</v>
      </c>
      <c r="AA40" s="121">
        <v>0.7379</v>
      </c>
      <c r="AB40" s="198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</row>
    <row r="41" spans="1:78" x14ac:dyDescent="0.3">
      <c r="A41" s="9" t="s">
        <v>3</v>
      </c>
      <c r="B41" s="6">
        <v>7.4672999999999998</v>
      </c>
      <c r="C41" s="28">
        <v>-1.1625000000000001</v>
      </c>
      <c r="D41" s="6">
        <v>4.3148999999999997</v>
      </c>
      <c r="E41" s="28">
        <v>-0.3075</v>
      </c>
      <c r="F41" s="6">
        <v>2.1855000000000002</v>
      </c>
      <c r="G41" s="28">
        <v>0.61029999999999995</v>
      </c>
      <c r="H41" s="6">
        <v>3.2568999999999999</v>
      </c>
      <c r="I41" s="28">
        <v>8.9700000000000002E-2</v>
      </c>
      <c r="J41" s="192"/>
      <c r="K41" s="206" t="s">
        <v>3</v>
      </c>
      <c r="L41" s="204">
        <v>2.3094999999999999</v>
      </c>
      <c r="M41" s="120">
        <v>0.53869999999999996</v>
      </c>
      <c r="N41" s="204">
        <v>2.0655999999999999</v>
      </c>
      <c r="O41" s="120">
        <v>0.68379999999999996</v>
      </c>
      <c r="P41" s="204">
        <v>2.1855000000000002</v>
      </c>
      <c r="Q41" s="120">
        <v>0.61029999999999995</v>
      </c>
      <c r="R41" s="204">
        <v>2.3111000000000002</v>
      </c>
      <c r="S41" s="120">
        <v>0.55130000000000001</v>
      </c>
      <c r="T41" s="204">
        <v>1.7101</v>
      </c>
      <c r="U41" s="120">
        <v>0.91769999999999996</v>
      </c>
      <c r="V41" s="204">
        <v>2.1684999999999999</v>
      </c>
      <c r="W41" s="120">
        <v>0.62960000000000005</v>
      </c>
      <c r="X41" s="204">
        <v>2.1034999999999999</v>
      </c>
      <c r="Y41" s="120">
        <v>0.6552</v>
      </c>
      <c r="Z41" s="204">
        <v>1.9871000000000001</v>
      </c>
      <c r="AA41" s="121">
        <v>0.72460000000000002</v>
      </c>
      <c r="AB41" s="198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3"/>
      <c r="BP41" s="123"/>
      <c r="BQ41" s="123"/>
      <c r="BR41" s="123"/>
      <c r="BS41" s="123"/>
      <c r="BT41" s="123"/>
      <c r="BU41" s="123"/>
      <c r="BV41" s="123"/>
      <c r="BW41" s="123"/>
      <c r="BX41" s="123"/>
      <c r="BY41" s="123"/>
      <c r="BZ41" s="123"/>
    </row>
    <row r="42" spans="1:78" x14ac:dyDescent="0.3">
      <c r="A42" s="9" t="s">
        <v>4</v>
      </c>
      <c r="B42" s="6">
        <v>8.8475000000000001</v>
      </c>
      <c r="C42" s="28">
        <v>-1.1449</v>
      </c>
      <c r="D42" s="6">
        <v>5.2096999999999998</v>
      </c>
      <c r="E42" s="28">
        <v>-0.31640000000000001</v>
      </c>
      <c r="F42" s="6">
        <v>2.6351</v>
      </c>
      <c r="G42" s="28">
        <v>0.60389999999999999</v>
      </c>
      <c r="H42" s="6">
        <v>3.8961999999999999</v>
      </c>
      <c r="I42" s="28">
        <v>9.4200000000000006E-2</v>
      </c>
      <c r="J42" s="192"/>
      <c r="K42" s="206" t="s">
        <v>4</v>
      </c>
      <c r="L42" s="204">
        <v>2.7717000000000001</v>
      </c>
      <c r="M42" s="120">
        <v>0.53839999999999999</v>
      </c>
      <c r="N42" s="204">
        <v>2.5129000000000001</v>
      </c>
      <c r="O42" s="120">
        <v>0.66649999999999998</v>
      </c>
      <c r="P42" s="204">
        <v>2.6351</v>
      </c>
      <c r="Q42" s="120">
        <v>0.60389999999999999</v>
      </c>
      <c r="R42" s="204">
        <v>2.7532000000000001</v>
      </c>
      <c r="S42" s="120">
        <v>0.56110000000000004</v>
      </c>
      <c r="T42" s="204">
        <v>2.0581999999999998</v>
      </c>
      <c r="U42" s="120">
        <v>0.91290000000000004</v>
      </c>
      <c r="V42" s="204">
        <v>2.5981999999999998</v>
      </c>
      <c r="W42" s="120">
        <v>0.63180000000000003</v>
      </c>
      <c r="X42" s="204">
        <v>2.5179999999999998</v>
      </c>
      <c r="Y42" s="120">
        <v>0.6593</v>
      </c>
      <c r="Z42" s="204">
        <v>2.3559999999999999</v>
      </c>
      <c r="AA42" s="121">
        <v>0.73929999999999996</v>
      </c>
      <c r="AB42" s="198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/>
      <c r="BQ42" s="123"/>
      <c r="BR42" s="123"/>
      <c r="BS42" s="123"/>
      <c r="BT42" s="123"/>
      <c r="BU42" s="123"/>
      <c r="BV42" s="123"/>
      <c r="BW42" s="123"/>
      <c r="BX42" s="123"/>
      <c r="BY42" s="123"/>
      <c r="BZ42" s="123"/>
    </row>
    <row r="43" spans="1:78" x14ac:dyDescent="0.3">
      <c r="A43" s="9" t="s">
        <v>5</v>
      </c>
      <c r="B43" s="6">
        <v>10.230499999999999</v>
      </c>
      <c r="C43" s="28">
        <v>-1.1297999999999999</v>
      </c>
      <c r="D43" s="6">
        <v>6.0326000000000004</v>
      </c>
      <c r="E43" s="28">
        <v>-0.30580000000000002</v>
      </c>
      <c r="F43" s="6">
        <v>3.0627</v>
      </c>
      <c r="G43" s="28">
        <v>0.61040000000000005</v>
      </c>
      <c r="H43" s="6">
        <v>4.5212000000000003</v>
      </c>
      <c r="I43" s="28">
        <v>0.1022</v>
      </c>
      <c r="J43" s="192"/>
      <c r="K43" s="206" t="s">
        <v>5</v>
      </c>
      <c r="L43" s="204">
        <v>3.2069000000000001</v>
      </c>
      <c r="M43" s="120">
        <v>0.54910000000000003</v>
      </c>
      <c r="N43" s="204">
        <v>2.9209000000000001</v>
      </c>
      <c r="O43" s="120">
        <v>0.67179999999999995</v>
      </c>
      <c r="P43" s="204">
        <v>3.0627</v>
      </c>
      <c r="Q43" s="120">
        <v>0.61040000000000005</v>
      </c>
      <c r="R43" s="204">
        <v>3.1663999999999999</v>
      </c>
      <c r="S43" s="120">
        <v>0.57979999999999998</v>
      </c>
      <c r="T43" s="204">
        <v>2.3824000000000001</v>
      </c>
      <c r="U43" s="120">
        <v>0.92210000000000003</v>
      </c>
      <c r="V43" s="204">
        <v>3.0226000000000002</v>
      </c>
      <c r="W43" s="120">
        <v>0.63490000000000002</v>
      </c>
      <c r="X43" s="204">
        <v>2.9058000000000002</v>
      </c>
      <c r="Y43" s="120">
        <v>0.67249999999999999</v>
      </c>
      <c r="Z43" s="204">
        <v>2.7545000000000002</v>
      </c>
      <c r="AA43" s="121">
        <v>0.73899999999999999</v>
      </c>
      <c r="AB43" s="198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3"/>
      <c r="BR43" s="123"/>
      <c r="BS43" s="123"/>
      <c r="BT43" s="123"/>
      <c r="BU43" s="123"/>
      <c r="BV43" s="123"/>
      <c r="BW43" s="123"/>
      <c r="BX43" s="123"/>
      <c r="BY43" s="123"/>
      <c r="BZ43" s="123"/>
    </row>
    <row r="44" spans="1:78" s="150" customFormat="1" ht="16.8" thickBot="1" x14ac:dyDescent="0.35">
      <c r="A44" s="18" t="s">
        <v>6</v>
      </c>
      <c r="B44" s="10">
        <v>11.703799999999999</v>
      </c>
      <c r="C44" s="29">
        <v>-1.1374</v>
      </c>
      <c r="D44" s="10">
        <v>6.9627999999999997</v>
      </c>
      <c r="E44" s="29">
        <v>-0.32040000000000002</v>
      </c>
      <c r="F44" s="10">
        <v>3.5396000000000001</v>
      </c>
      <c r="G44" s="29">
        <v>0.59719999999999995</v>
      </c>
      <c r="H44" s="10">
        <v>5.2213000000000003</v>
      </c>
      <c r="I44" s="29">
        <v>8.7999999999999995E-2</v>
      </c>
      <c r="J44" s="193"/>
      <c r="K44" s="207" t="s">
        <v>6</v>
      </c>
      <c r="L44" s="205">
        <v>3.7099000000000002</v>
      </c>
      <c r="M44" s="203">
        <v>0.53449999999999998</v>
      </c>
      <c r="N44" s="205">
        <v>3.3445999999999998</v>
      </c>
      <c r="O44" s="203">
        <v>0.66930000000000001</v>
      </c>
      <c r="P44" s="205">
        <v>3.5396000000000001</v>
      </c>
      <c r="Q44" s="203">
        <v>0.59719999999999995</v>
      </c>
      <c r="R44" s="205">
        <v>3.6627000000000001</v>
      </c>
      <c r="S44" s="203">
        <v>0.56379999999999997</v>
      </c>
      <c r="T44" s="205">
        <v>2.7854999999999999</v>
      </c>
      <c r="U44" s="203">
        <v>0.89600000000000002</v>
      </c>
      <c r="V44" s="205">
        <v>3.4807999999999999</v>
      </c>
      <c r="W44" s="203">
        <v>0.62760000000000005</v>
      </c>
      <c r="X44" s="205">
        <v>3.3782999999999999</v>
      </c>
      <c r="Y44" s="203">
        <v>0.65390000000000004</v>
      </c>
      <c r="Z44" s="205">
        <v>3.1604000000000001</v>
      </c>
      <c r="AA44" s="208">
        <v>0.73580000000000001</v>
      </c>
      <c r="AB44" s="199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</row>
    <row r="45" spans="1:78" s="141" customFormat="1" x14ac:dyDescent="0.3">
      <c r="A45" s="224" t="s">
        <v>30</v>
      </c>
      <c r="B45" s="55" t="s">
        <v>0</v>
      </c>
      <c r="C45" s="56"/>
      <c r="D45" s="55" t="s">
        <v>17</v>
      </c>
      <c r="E45" s="56"/>
      <c r="F45" s="55" t="s">
        <v>18</v>
      </c>
      <c r="G45" s="56"/>
      <c r="H45" s="55" t="s">
        <v>19</v>
      </c>
      <c r="I45" s="56"/>
      <c r="J45" s="189"/>
      <c r="K45" s="209" t="s">
        <v>47</v>
      </c>
      <c r="L45" s="238" t="s">
        <v>41</v>
      </c>
      <c r="M45" s="239"/>
      <c r="N45" s="240" t="s">
        <v>28</v>
      </c>
      <c r="O45" s="240"/>
      <c r="P45" s="241" t="s">
        <v>29</v>
      </c>
      <c r="Q45" s="241"/>
      <c r="R45" s="242" t="s">
        <v>30</v>
      </c>
      <c r="S45" s="242"/>
      <c r="T45" s="243" t="s">
        <v>31</v>
      </c>
      <c r="U45" s="243"/>
      <c r="V45" s="244" t="s">
        <v>32</v>
      </c>
      <c r="W45" s="244"/>
      <c r="X45" s="235" t="s">
        <v>33</v>
      </c>
      <c r="Y45" s="235"/>
      <c r="Z45" s="236" t="s">
        <v>34</v>
      </c>
      <c r="AA45" s="237"/>
      <c r="AB45" s="200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38"/>
      <c r="AX45" s="138"/>
      <c r="AY45" s="138"/>
      <c r="AZ45" s="138"/>
      <c r="BA45" s="138"/>
      <c r="BB45" s="138"/>
      <c r="BC45" s="138"/>
      <c r="BD45" s="138"/>
      <c r="BE45" s="138"/>
      <c r="BF45" s="138"/>
      <c r="BG45" s="138"/>
      <c r="BH45" s="138"/>
      <c r="BI45" s="138"/>
      <c r="BJ45" s="138"/>
      <c r="BK45" s="138"/>
      <c r="BL45" s="138"/>
      <c r="BM45" s="138"/>
      <c r="BN45" s="138"/>
      <c r="BO45" s="138"/>
      <c r="BP45" s="138"/>
      <c r="BQ45" s="138"/>
      <c r="BR45" s="138"/>
      <c r="BS45" s="138"/>
      <c r="BT45" s="138"/>
      <c r="BU45" s="138"/>
      <c r="BV45" s="138"/>
      <c r="BW45" s="138"/>
      <c r="BX45" s="138"/>
      <c r="BY45" s="138"/>
      <c r="BZ45" s="138"/>
    </row>
    <row r="46" spans="1:78" s="144" customFormat="1" ht="16.8" thickBot="1" x14ac:dyDescent="0.35">
      <c r="A46" s="225"/>
      <c r="B46" s="57" t="s">
        <v>25</v>
      </c>
      <c r="C46" s="58" t="s">
        <v>26</v>
      </c>
      <c r="D46" s="57" t="s">
        <v>25</v>
      </c>
      <c r="E46" s="58" t="s">
        <v>26</v>
      </c>
      <c r="F46" s="57" t="s">
        <v>25</v>
      </c>
      <c r="G46" s="58" t="s">
        <v>26</v>
      </c>
      <c r="H46" s="57" t="s">
        <v>25</v>
      </c>
      <c r="I46" s="58" t="s">
        <v>26</v>
      </c>
      <c r="J46" s="190"/>
      <c r="K46" s="210"/>
      <c r="L46" s="204" t="s">
        <v>42</v>
      </c>
      <c r="M46" s="120" t="s">
        <v>43</v>
      </c>
      <c r="N46" s="120" t="s">
        <v>42</v>
      </c>
      <c r="O46" s="120" t="s">
        <v>43</v>
      </c>
      <c r="P46" s="120" t="s">
        <v>42</v>
      </c>
      <c r="Q46" s="120" t="s">
        <v>43</v>
      </c>
      <c r="R46" s="120" t="s">
        <v>42</v>
      </c>
      <c r="S46" s="120" t="s">
        <v>43</v>
      </c>
      <c r="T46" s="120" t="s">
        <v>42</v>
      </c>
      <c r="U46" s="120" t="s">
        <v>43</v>
      </c>
      <c r="V46" s="120" t="s">
        <v>42</v>
      </c>
      <c r="W46" s="120" t="s">
        <v>43</v>
      </c>
      <c r="X46" s="120" t="s">
        <v>42</v>
      </c>
      <c r="Y46" s="120" t="s">
        <v>43</v>
      </c>
      <c r="Z46" s="120" t="s">
        <v>42</v>
      </c>
      <c r="AA46" s="121" t="s">
        <v>43</v>
      </c>
      <c r="AB46" s="196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3"/>
      <c r="AT46" s="113"/>
      <c r="AU46" s="113"/>
      <c r="AV46" s="113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</row>
    <row r="47" spans="1:78" s="147" customFormat="1" x14ac:dyDescent="0.3">
      <c r="A47" s="45" t="s">
        <v>10</v>
      </c>
      <c r="B47" s="46">
        <v>1.5082</v>
      </c>
      <c r="C47" s="47">
        <v>-1.2422</v>
      </c>
      <c r="D47" s="46">
        <v>0.97829999999999995</v>
      </c>
      <c r="E47" s="39">
        <v>-0.49859999999999999</v>
      </c>
      <c r="F47" s="46">
        <v>0.54959999999999998</v>
      </c>
      <c r="G47" s="39">
        <v>0.33150000000000002</v>
      </c>
      <c r="H47" s="46">
        <v>0.75800000000000001</v>
      </c>
      <c r="I47" s="39">
        <v>-0.12239999999999999</v>
      </c>
      <c r="J47" s="194"/>
      <c r="K47" s="206" t="s">
        <v>44</v>
      </c>
      <c r="L47" s="204">
        <v>0.7036</v>
      </c>
      <c r="M47" s="120">
        <v>-1.6299999999999999E-2</v>
      </c>
      <c r="N47" s="204">
        <v>0.71750000000000003</v>
      </c>
      <c r="O47" s="120">
        <v>-4.4999999999999998E-2</v>
      </c>
      <c r="P47" s="204">
        <v>0.68220000000000003</v>
      </c>
      <c r="Q47" s="120">
        <v>2.6499999999999999E-2</v>
      </c>
      <c r="R47" s="204">
        <v>0.75800000000000001</v>
      </c>
      <c r="S47" s="120">
        <v>-0.12239999999999999</v>
      </c>
      <c r="T47" s="204">
        <v>0.66649999999999998</v>
      </c>
      <c r="U47" s="120">
        <v>6.0199999999999997E-2</v>
      </c>
      <c r="V47" s="204">
        <v>0.83699999999999997</v>
      </c>
      <c r="W47" s="120">
        <v>-0.2651</v>
      </c>
      <c r="X47" s="204">
        <v>0.80210000000000004</v>
      </c>
      <c r="Y47" s="120">
        <v>-0.2036</v>
      </c>
      <c r="Z47" s="204">
        <v>0.74829999999999997</v>
      </c>
      <c r="AA47" s="121">
        <v>-0.1038</v>
      </c>
      <c r="AB47" s="201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</row>
    <row r="48" spans="1:78" x14ac:dyDescent="0.3">
      <c r="A48" s="9" t="s">
        <v>1</v>
      </c>
      <c r="B48" s="6">
        <v>2.9676999999999998</v>
      </c>
      <c r="C48" s="28">
        <v>-1.2095</v>
      </c>
      <c r="D48" s="6">
        <v>1.8011999999999999</v>
      </c>
      <c r="E48" s="28">
        <v>-0.3659</v>
      </c>
      <c r="F48" s="6">
        <v>1.0007999999999999</v>
      </c>
      <c r="G48" s="28">
        <v>0.45119999999999999</v>
      </c>
      <c r="H48" s="6">
        <v>1.5047999999999999</v>
      </c>
      <c r="I48" s="28">
        <v>-0.1119</v>
      </c>
      <c r="J48" s="192"/>
      <c r="K48" s="206" t="s">
        <v>1</v>
      </c>
      <c r="L48" s="204">
        <v>1.3384</v>
      </c>
      <c r="M48" s="120">
        <v>5.28E-2</v>
      </c>
      <c r="N48" s="204">
        <v>1.3667</v>
      </c>
      <c r="O48" s="120">
        <v>2.3400000000000001E-2</v>
      </c>
      <c r="P48" s="204">
        <v>1.3380000000000001</v>
      </c>
      <c r="Q48" s="120">
        <v>5.28E-2</v>
      </c>
      <c r="R48" s="204">
        <v>1.5047999999999999</v>
      </c>
      <c r="S48" s="120">
        <v>-0.1119</v>
      </c>
      <c r="T48" s="204">
        <v>1.3025</v>
      </c>
      <c r="U48" s="120">
        <v>9.0999999999999998E-2</v>
      </c>
      <c r="V48" s="204">
        <v>1.6603000000000001</v>
      </c>
      <c r="W48" s="120">
        <v>-0.254</v>
      </c>
      <c r="X48" s="204">
        <v>1.5294000000000001</v>
      </c>
      <c r="Y48" s="120">
        <v>-0.13469999999999999</v>
      </c>
      <c r="Z48" s="204">
        <v>1.4433</v>
      </c>
      <c r="AA48" s="121">
        <v>-5.2699999999999997E-2</v>
      </c>
      <c r="AB48" s="198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</row>
    <row r="49" spans="1:78" x14ac:dyDescent="0.3">
      <c r="A49" s="9" t="s">
        <v>7</v>
      </c>
      <c r="B49" s="6">
        <v>4.5575000000000001</v>
      </c>
      <c r="C49" s="28">
        <v>-1.244</v>
      </c>
      <c r="D49" s="6">
        <v>2.6023000000000001</v>
      </c>
      <c r="E49" s="28">
        <v>-0.31040000000000001</v>
      </c>
      <c r="F49" s="6">
        <v>1.4612000000000001</v>
      </c>
      <c r="G49" s="28">
        <v>0.48499999999999999</v>
      </c>
      <c r="H49" s="6">
        <v>2.2385999999999999</v>
      </c>
      <c r="I49" s="28">
        <v>-9.9500000000000005E-2</v>
      </c>
      <c r="J49" s="192"/>
      <c r="K49" s="206" t="s">
        <v>7</v>
      </c>
      <c r="L49" s="204">
        <v>1.9601</v>
      </c>
      <c r="M49" s="120">
        <v>8.6499999999999994E-2</v>
      </c>
      <c r="N49" s="204">
        <v>2.1065</v>
      </c>
      <c r="O49" s="120">
        <v>-1.43E-2</v>
      </c>
      <c r="P49" s="204">
        <v>1.9984999999999999</v>
      </c>
      <c r="Q49" s="120">
        <v>5.8500000000000003E-2</v>
      </c>
      <c r="R49" s="204">
        <v>2.2385999999999999</v>
      </c>
      <c r="S49" s="120">
        <v>-9.9500000000000005E-2</v>
      </c>
      <c r="T49" s="204">
        <v>1.9718</v>
      </c>
      <c r="U49" s="120">
        <v>7.7799999999999994E-2</v>
      </c>
      <c r="V49" s="204">
        <v>2.4493999999999998</v>
      </c>
      <c r="W49" s="120">
        <v>-0.2303</v>
      </c>
      <c r="X49" s="204">
        <v>2.2864</v>
      </c>
      <c r="Y49" s="120">
        <v>-0.13039999999999999</v>
      </c>
      <c r="Z49" s="204">
        <v>2.1728999999999998</v>
      </c>
      <c r="AA49" s="121">
        <v>-5.8700000000000002E-2</v>
      </c>
      <c r="AB49" s="198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3"/>
      <c r="BI49" s="123"/>
      <c r="BJ49" s="123"/>
      <c r="BK49" s="123"/>
      <c r="BL49" s="123"/>
      <c r="BM49" s="123"/>
      <c r="BN49" s="123"/>
      <c r="BO49" s="123"/>
      <c r="BP49" s="123"/>
      <c r="BQ49" s="123"/>
      <c r="BR49" s="123"/>
      <c r="BS49" s="123"/>
      <c r="BT49" s="123"/>
      <c r="BU49" s="123"/>
      <c r="BV49" s="123"/>
      <c r="BW49" s="123"/>
      <c r="BX49" s="123"/>
      <c r="BY49" s="123"/>
      <c r="BZ49" s="123"/>
    </row>
    <row r="50" spans="1:78" x14ac:dyDescent="0.3">
      <c r="A50" s="8" t="s">
        <v>2</v>
      </c>
      <c r="B50" s="7">
        <v>5.6227999999999998</v>
      </c>
      <c r="C50" s="27">
        <v>-1.0593999999999999</v>
      </c>
      <c r="D50" s="7">
        <v>3.3018999999999998</v>
      </c>
      <c r="E50" s="27">
        <v>-0.23230000000000001</v>
      </c>
      <c r="F50" s="7">
        <v>1.9161999999999999</v>
      </c>
      <c r="G50" s="27">
        <v>0.50449999999999995</v>
      </c>
      <c r="H50" s="7">
        <v>2.9157000000000002</v>
      </c>
      <c r="I50" s="27">
        <v>-6.59E-2</v>
      </c>
      <c r="J50" s="195"/>
      <c r="K50" s="206" t="s">
        <v>2</v>
      </c>
      <c r="L50" s="204">
        <v>2.6164999999999998</v>
      </c>
      <c r="M50" s="120">
        <v>8.48E-2</v>
      </c>
      <c r="N50" s="204">
        <v>2.8233000000000001</v>
      </c>
      <c r="O50" s="120">
        <v>-2.1899999999999999E-2</v>
      </c>
      <c r="P50" s="204">
        <v>2.6291000000000002</v>
      </c>
      <c r="Q50" s="120">
        <v>7.7100000000000002E-2</v>
      </c>
      <c r="R50" s="204">
        <v>2.9157000000000002</v>
      </c>
      <c r="S50" s="120">
        <v>-6.59E-2</v>
      </c>
      <c r="T50" s="204">
        <v>2.5886</v>
      </c>
      <c r="U50" s="120">
        <v>0.10059999999999999</v>
      </c>
      <c r="V50" s="204">
        <v>3.2576000000000001</v>
      </c>
      <c r="W50" s="120">
        <v>-0.2266</v>
      </c>
      <c r="X50" s="204">
        <v>3.0091999999999999</v>
      </c>
      <c r="Y50" s="120">
        <v>-0.1118</v>
      </c>
      <c r="Z50" s="204">
        <v>2.9342999999999999</v>
      </c>
      <c r="AA50" s="121">
        <v>-7.6200000000000004E-2</v>
      </c>
      <c r="AB50" s="202"/>
      <c r="AC50" s="118"/>
      <c r="AD50" s="118"/>
      <c r="AE50" s="118"/>
      <c r="AF50" s="118"/>
      <c r="AG50" s="118"/>
      <c r="AH50" s="118"/>
      <c r="AI50" s="93"/>
      <c r="AJ50" s="118"/>
      <c r="AK50" s="118"/>
      <c r="AL50" s="118"/>
      <c r="AM50" s="118"/>
      <c r="AN50" s="118"/>
      <c r="AO50" s="118"/>
      <c r="AP50" s="118"/>
      <c r="AQ50" s="93"/>
      <c r="AR50" s="118"/>
      <c r="AS50" s="118"/>
      <c r="AT50" s="118"/>
      <c r="AU50" s="118"/>
      <c r="AV50" s="118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123"/>
      <c r="BN50" s="123"/>
      <c r="BO50" s="123"/>
      <c r="BP50" s="123"/>
      <c r="BQ50" s="123"/>
      <c r="BR50" s="123"/>
      <c r="BS50" s="123"/>
      <c r="BT50" s="123"/>
      <c r="BU50" s="123"/>
      <c r="BV50" s="123"/>
      <c r="BW50" s="123"/>
      <c r="BX50" s="123"/>
      <c r="BY50" s="123"/>
      <c r="BZ50" s="123"/>
    </row>
    <row r="51" spans="1:78" x14ac:dyDescent="0.3">
      <c r="A51" s="9" t="s">
        <v>3</v>
      </c>
      <c r="B51" s="6">
        <v>6.8105000000000002</v>
      </c>
      <c r="C51" s="28">
        <v>-1.0045999999999999</v>
      </c>
      <c r="D51" s="6">
        <v>3.9771999999999998</v>
      </c>
      <c r="E51" s="28">
        <v>-0.17730000000000001</v>
      </c>
      <c r="F51" s="6">
        <v>2.3111000000000002</v>
      </c>
      <c r="G51" s="28">
        <v>0.55130000000000001</v>
      </c>
      <c r="H51" s="6">
        <v>3.6444999999999999</v>
      </c>
      <c r="I51" s="28">
        <v>-6.4899999999999999E-2</v>
      </c>
      <c r="J51" s="192"/>
      <c r="K51" s="206" t="s">
        <v>3</v>
      </c>
      <c r="L51" s="204">
        <v>3.2911000000000001</v>
      </c>
      <c r="M51" s="120">
        <v>7.5899999999999995E-2</v>
      </c>
      <c r="N51" s="204">
        <v>3.5428000000000002</v>
      </c>
      <c r="O51" s="120">
        <v>-2.7300000000000001E-2</v>
      </c>
      <c r="P51" s="204">
        <v>3.2568999999999999</v>
      </c>
      <c r="Q51" s="120">
        <v>8.9700000000000002E-2</v>
      </c>
      <c r="R51" s="204">
        <v>3.6444999999999999</v>
      </c>
      <c r="S51" s="120">
        <v>-6.4899999999999999E-2</v>
      </c>
      <c r="T51" s="204">
        <v>3.2046999999999999</v>
      </c>
      <c r="U51" s="120">
        <v>0.1129</v>
      </c>
      <c r="V51" s="204">
        <v>4.0861000000000001</v>
      </c>
      <c r="W51" s="120">
        <v>-0.23150000000000001</v>
      </c>
      <c r="X51" s="204">
        <v>3.7362000000000002</v>
      </c>
      <c r="Y51" s="120">
        <v>-0.10249999999999999</v>
      </c>
      <c r="Z51" s="204">
        <v>3.6728999999999998</v>
      </c>
      <c r="AA51" s="121">
        <v>-7.7700000000000005E-2</v>
      </c>
      <c r="AB51" s="198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123"/>
      <c r="BT51" s="123"/>
      <c r="BU51" s="123"/>
      <c r="BV51" s="123"/>
      <c r="BW51" s="123"/>
      <c r="BX51" s="123"/>
      <c r="BY51" s="123"/>
      <c r="BZ51" s="123"/>
    </row>
    <row r="52" spans="1:78" x14ac:dyDescent="0.3">
      <c r="A52" s="9" t="s">
        <v>4</v>
      </c>
      <c r="B52" s="6">
        <v>8.1128999999999998</v>
      </c>
      <c r="C52" s="28">
        <v>-0.996</v>
      </c>
      <c r="D52" s="6">
        <v>4.8632</v>
      </c>
      <c r="E52" s="28">
        <v>-0.20399999999999999</v>
      </c>
      <c r="F52" s="6">
        <v>2.7532000000000001</v>
      </c>
      <c r="G52" s="28">
        <v>0.56110000000000004</v>
      </c>
      <c r="H52" s="6">
        <v>4.4200999999999997</v>
      </c>
      <c r="I52" s="28">
        <v>-8.0199999999999994E-2</v>
      </c>
      <c r="J52" s="192"/>
      <c r="K52" s="206" t="s">
        <v>4</v>
      </c>
      <c r="L52" s="204">
        <v>3.9943</v>
      </c>
      <c r="M52" s="120">
        <v>6.0299999999999999E-2</v>
      </c>
      <c r="N52" s="204">
        <v>4.2393000000000001</v>
      </c>
      <c r="O52" s="120">
        <v>-2.35E-2</v>
      </c>
      <c r="P52" s="204">
        <v>3.8961999999999999</v>
      </c>
      <c r="Q52" s="120">
        <v>9.4200000000000006E-2</v>
      </c>
      <c r="R52" s="204">
        <v>4.4200999999999997</v>
      </c>
      <c r="S52" s="120">
        <v>-8.0199999999999994E-2</v>
      </c>
      <c r="T52" s="204">
        <v>3.8675999999999999</v>
      </c>
      <c r="U52" s="120">
        <v>0.1047</v>
      </c>
      <c r="V52" s="204">
        <v>4.9604999999999997</v>
      </c>
      <c r="W52" s="120">
        <v>-0.24840000000000001</v>
      </c>
      <c r="X52" s="204">
        <v>4.4718</v>
      </c>
      <c r="Y52" s="120">
        <v>-9.8900000000000002E-2</v>
      </c>
      <c r="Z52" s="204">
        <v>4.4161999999999999</v>
      </c>
      <c r="AA52" s="121">
        <v>-8.0799999999999997E-2</v>
      </c>
      <c r="AB52" s="198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3"/>
      <c r="BP52" s="123"/>
      <c r="BQ52" s="123"/>
      <c r="BR52" s="123"/>
      <c r="BS52" s="123"/>
      <c r="BT52" s="123"/>
      <c r="BU52" s="123"/>
      <c r="BV52" s="123"/>
      <c r="BW52" s="123"/>
      <c r="BX52" s="123"/>
      <c r="BY52" s="123"/>
      <c r="BZ52" s="123"/>
    </row>
    <row r="53" spans="1:78" x14ac:dyDescent="0.3">
      <c r="A53" s="9" t="s">
        <v>5</v>
      </c>
      <c r="B53" s="6">
        <v>9.2394999999999996</v>
      </c>
      <c r="C53" s="28">
        <v>-0.95340000000000003</v>
      </c>
      <c r="D53" s="6">
        <v>5.5762</v>
      </c>
      <c r="E53" s="28">
        <v>-0.1787</v>
      </c>
      <c r="F53" s="6">
        <v>3.1663999999999999</v>
      </c>
      <c r="G53" s="28">
        <v>0.57979999999999998</v>
      </c>
      <c r="H53" s="6">
        <v>5.1276999999999999</v>
      </c>
      <c r="I53" s="28">
        <v>-7.2300000000000003E-2</v>
      </c>
      <c r="J53" s="192"/>
      <c r="K53" s="206" t="s">
        <v>5</v>
      </c>
      <c r="L53" s="204">
        <v>4.6424000000000003</v>
      </c>
      <c r="M53" s="120">
        <v>6.5500000000000003E-2</v>
      </c>
      <c r="N53" s="204">
        <v>4.9566999999999997</v>
      </c>
      <c r="O53" s="120">
        <v>-2.63E-2</v>
      </c>
      <c r="P53" s="204">
        <v>4.5212000000000003</v>
      </c>
      <c r="Q53" s="120">
        <v>0.1022</v>
      </c>
      <c r="R53" s="204">
        <v>5.1276999999999999</v>
      </c>
      <c r="S53" s="120">
        <v>-7.2300000000000003E-2</v>
      </c>
      <c r="T53" s="204">
        <v>4.4866999999999999</v>
      </c>
      <c r="U53" s="120">
        <v>0.1133</v>
      </c>
      <c r="V53" s="204">
        <v>5.7687999999999997</v>
      </c>
      <c r="W53" s="120">
        <v>-0.2437</v>
      </c>
      <c r="X53" s="204">
        <v>5.2077999999999998</v>
      </c>
      <c r="Y53" s="120">
        <v>-9.5799999999999996E-2</v>
      </c>
      <c r="Z53" s="204">
        <v>5.1550000000000002</v>
      </c>
      <c r="AA53" s="121">
        <v>-8.1299999999999997E-2</v>
      </c>
      <c r="AB53" s="198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123"/>
      <c r="AX53" s="123"/>
      <c r="AY53" s="123"/>
      <c r="AZ53" s="123"/>
      <c r="BA53" s="123"/>
      <c r="BB53" s="123"/>
      <c r="BC53" s="123"/>
      <c r="BD53" s="123"/>
      <c r="BE53" s="123"/>
      <c r="BF53" s="123"/>
      <c r="BG53" s="123"/>
      <c r="BH53" s="123"/>
      <c r="BI53" s="123"/>
      <c r="BJ53" s="123"/>
      <c r="BK53" s="123"/>
      <c r="BL53" s="123"/>
      <c r="BM53" s="123"/>
      <c r="BN53" s="123"/>
      <c r="BO53" s="123"/>
      <c r="BP53" s="123"/>
      <c r="BQ53" s="123"/>
      <c r="BR53" s="123"/>
      <c r="BS53" s="123"/>
      <c r="BT53" s="123"/>
      <c r="BU53" s="123"/>
      <c r="BV53" s="123"/>
      <c r="BW53" s="123"/>
      <c r="BX53" s="123"/>
      <c r="BY53" s="123"/>
      <c r="BZ53" s="123"/>
    </row>
    <row r="54" spans="1:78" s="150" customFormat="1" ht="16.8" thickBot="1" x14ac:dyDescent="0.35">
      <c r="A54" s="18" t="s">
        <v>6</v>
      </c>
      <c r="B54" s="10">
        <v>10.637700000000001</v>
      </c>
      <c r="C54" s="29">
        <v>-0.96960000000000002</v>
      </c>
      <c r="D54" s="10">
        <v>6.4501999999999997</v>
      </c>
      <c r="E54" s="29">
        <v>-0.19650000000000001</v>
      </c>
      <c r="F54" s="10">
        <v>3.6627000000000001</v>
      </c>
      <c r="G54" s="29">
        <v>0.56379999999999997</v>
      </c>
      <c r="H54" s="10">
        <v>5.9401000000000002</v>
      </c>
      <c r="I54" s="29">
        <v>-9.0899999999999995E-2</v>
      </c>
      <c r="J54" s="193"/>
      <c r="K54" s="207" t="s">
        <v>6</v>
      </c>
      <c r="L54" s="205">
        <v>5.3484999999999996</v>
      </c>
      <c r="M54" s="203">
        <v>5.4899999999999997E-2</v>
      </c>
      <c r="N54" s="205">
        <v>5.6791999999999998</v>
      </c>
      <c r="O54" s="203">
        <v>-2.9399999999999999E-2</v>
      </c>
      <c r="P54" s="205">
        <v>5.2213000000000003</v>
      </c>
      <c r="Q54" s="203">
        <v>8.7999999999999995E-2</v>
      </c>
      <c r="R54" s="205">
        <v>5.9401000000000002</v>
      </c>
      <c r="S54" s="203">
        <v>-9.0899999999999995E-2</v>
      </c>
      <c r="T54" s="205">
        <v>5.1561000000000003</v>
      </c>
      <c r="U54" s="203">
        <v>0.10539999999999999</v>
      </c>
      <c r="V54" s="205">
        <v>6.6281999999999996</v>
      </c>
      <c r="W54" s="203">
        <v>-0.25159999999999999</v>
      </c>
      <c r="X54" s="205">
        <v>5.9717000000000002</v>
      </c>
      <c r="Y54" s="203">
        <v>-0.1004</v>
      </c>
      <c r="Z54" s="205">
        <v>5.8703000000000003</v>
      </c>
      <c r="AA54" s="208">
        <v>-7.5899999999999995E-2</v>
      </c>
      <c r="AB54" s="199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</row>
    <row r="55" spans="1:78" s="141" customFormat="1" x14ac:dyDescent="0.3">
      <c r="A55" s="222" t="s">
        <v>31</v>
      </c>
      <c r="B55" s="12" t="s">
        <v>0</v>
      </c>
      <c r="C55" s="32"/>
      <c r="D55" s="12" t="s">
        <v>17</v>
      </c>
      <c r="E55" s="32"/>
      <c r="F55" s="12" t="s">
        <v>18</v>
      </c>
      <c r="G55" s="32"/>
      <c r="H55" s="12" t="s">
        <v>19</v>
      </c>
      <c r="I55" s="32"/>
      <c r="J55" s="72"/>
      <c r="K55" s="46"/>
      <c r="L55" s="47"/>
      <c r="M55" s="45"/>
      <c r="N55" s="145"/>
      <c r="O55" s="145"/>
      <c r="P55" s="45"/>
      <c r="Q55" s="46"/>
      <c r="R55" s="47"/>
      <c r="S55" s="45"/>
      <c r="T55" s="145"/>
      <c r="U55" s="145"/>
      <c r="V55" s="45"/>
      <c r="W55" s="46"/>
      <c r="X55" s="47"/>
      <c r="Y55" s="146"/>
      <c r="Z55" s="145"/>
      <c r="AA55" s="145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138"/>
      <c r="BT55" s="138"/>
      <c r="BU55" s="138"/>
      <c r="BV55" s="138"/>
      <c r="BW55" s="138"/>
      <c r="BX55" s="138"/>
      <c r="BY55" s="138"/>
      <c r="BZ55" s="138"/>
    </row>
    <row r="56" spans="1:78" s="144" customFormat="1" ht="16.8" thickBot="1" x14ac:dyDescent="0.35">
      <c r="A56" s="223"/>
      <c r="B56" s="59" t="s">
        <v>25</v>
      </c>
      <c r="C56" s="60" t="s">
        <v>26</v>
      </c>
      <c r="D56" s="59" t="s">
        <v>25</v>
      </c>
      <c r="E56" s="60" t="s">
        <v>26</v>
      </c>
      <c r="F56" s="59" t="s">
        <v>25</v>
      </c>
      <c r="G56" s="60" t="s">
        <v>26</v>
      </c>
      <c r="H56" s="59" t="s">
        <v>25</v>
      </c>
      <c r="I56" s="60" t="s">
        <v>26</v>
      </c>
      <c r="J56" s="75"/>
      <c r="K56" s="76"/>
      <c r="L56" s="77"/>
      <c r="M56" s="75"/>
      <c r="N56" s="142"/>
      <c r="O56" s="142"/>
      <c r="P56" s="75"/>
      <c r="Q56" s="76"/>
      <c r="R56" s="77"/>
      <c r="S56" s="75"/>
      <c r="T56" s="142"/>
      <c r="U56" s="142"/>
      <c r="V56" s="75"/>
      <c r="W56" s="76"/>
      <c r="X56" s="77"/>
      <c r="Y56" s="143"/>
      <c r="Z56" s="142"/>
      <c r="AA56" s="142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</row>
    <row r="57" spans="1:78" s="147" customFormat="1" x14ac:dyDescent="0.3">
      <c r="A57" s="45" t="s">
        <v>10</v>
      </c>
      <c r="B57" s="46">
        <v>1.1565000000000001</v>
      </c>
      <c r="C57" s="39">
        <v>-0.76100000000000001</v>
      </c>
      <c r="D57" s="46">
        <v>0.85260000000000002</v>
      </c>
      <c r="E57" s="39">
        <v>-0.28489999999999999</v>
      </c>
      <c r="F57" s="46">
        <v>0.37469999999999998</v>
      </c>
      <c r="G57" s="39">
        <v>0.79749999999999999</v>
      </c>
      <c r="H57" s="46">
        <v>0.66649999999999998</v>
      </c>
      <c r="I57" s="39">
        <v>6.0199999999999997E-2</v>
      </c>
      <c r="J57" s="45"/>
      <c r="K57" s="46"/>
      <c r="L57" s="47"/>
      <c r="M57" s="45"/>
      <c r="N57" s="145"/>
      <c r="O57" s="145"/>
      <c r="P57" s="45"/>
      <c r="Q57" s="46"/>
      <c r="R57" s="47"/>
      <c r="S57" s="45"/>
      <c r="T57" s="145"/>
      <c r="U57" s="145"/>
      <c r="V57" s="45"/>
      <c r="W57" s="46"/>
      <c r="X57" s="47"/>
      <c r="Y57" s="146"/>
      <c r="Z57" s="145"/>
      <c r="AA57" s="145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5"/>
      <c r="BM57" s="145"/>
      <c r="BN57" s="145"/>
      <c r="BO57" s="145"/>
      <c r="BP57" s="145"/>
      <c r="BQ57" s="145"/>
      <c r="BR57" s="145"/>
      <c r="BS57" s="145"/>
      <c r="BT57" s="145"/>
      <c r="BU57" s="145"/>
      <c r="BV57" s="145"/>
      <c r="BW57" s="145"/>
      <c r="BX57" s="145"/>
      <c r="BY57" s="145"/>
      <c r="BZ57" s="145"/>
    </row>
    <row r="58" spans="1:78" x14ac:dyDescent="0.3">
      <c r="A58" s="9" t="s">
        <v>1</v>
      </c>
      <c r="B58" s="6">
        <v>2.0629</v>
      </c>
      <c r="C58" s="28">
        <v>-0.53359999999999996</v>
      </c>
      <c r="D58" s="6">
        <v>1.6632</v>
      </c>
      <c r="E58" s="28">
        <v>-0.2457</v>
      </c>
      <c r="F58" s="6">
        <v>0.7702</v>
      </c>
      <c r="G58" s="28">
        <v>0.76480000000000004</v>
      </c>
      <c r="H58" s="6">
        <v>1.3025</v>
      </c>
      <c r="I58" s="28">
        <v>9.0999999999999998E-2</v>
      </c>
      <c r="J58" s="78"/>
      <c r="K58" s="79"/>
      <c r="L58" s="80"/>
      <c r="M58" s="78"/>
      <c r="N58" s="123"/>
      <c r="O58" s="123"/>
      <c r="P58" s="78"/>
      <c r="Q58" s="79"/>
      <c r="R58" s="80"/>
      <c r="S58" s="78"/>
      <c r="T58" s="123"/>
      <c r="U58" s="123"/>
      <c r="V58" s="78"/>
      <c r="W58" s="79"/>
      <c r="X58" s="80"/>
      <c r="Y58" s="122"/>
      <c r="Z58" s="123"/>
      <c r="AA58" s="12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123"/>
      <c r="BM58" s="123"/>
      <c r="BN58" s="123"/>
      <c r="BO58" s="123"/>
      <c r="BP58" s="123"/>
      <c r="BQ58" s="123"/>
      <c r="BR58" s="123"/>
      <c r="BS58" s="123"/>
      <c r="BT58" s="123"/>
      <c r="BU58" s="123"/>
      <c r="BV58" s="123"/>
      <c r="BW58" s="123"/>
      <c r="BX58" s="123"/>
      <c r="BY58" s="123"/>
      <c r="BZ58" s="123"/>
    </row>
    <row r="59" spans="1:78" ht="16.8" thickBot="1" x14ac:dyDescent="0.35">
      <c r="A59" s="9" t="s">
        <v>7</v>
      </c>
      <c r="B59" s="6">
        <v>3.0404</v>
      </c>
      <c r="C59" s="28">
        <v>-0.52029999999999998</v>
      </c>
      <c r="D59" s="6">
        <v>2.4984000000000002</v>
      </c>
      <c r="E59" s="28">
        <v>-0.25109999999999999</v>
      </c>
      <c r="F59" s="6">
        <v>1.1161000000000001</v>
      </c>
      <c r="G59" s="28">
        <v>0.81089999999999995</v>
      </c>
      <c r="H59" s="6">
        <v>1.9718</v>
      </c>
      <c r="I59" s="28">
        <v>7.7799999999999994E-2</v>
      </c>
      <c r="J59" s="78"/>
      <c r="K59" s="79"/>
      <c r="L59" s="80"/>
      <c r="M59" s="78"/>
      <c r="N59" s="123"/>
      <c r="O59" s="123"/>
      <c r="P59" s="78"/>
      <c r="Q59" s="79"/>
      <c r="R59" s="80"/>
      <c r="S59" s="78"/>
      <c r="T59" s="123"/>
      <c r="U59" s="123"/>
      <c r="V59" s="78"/>
      <c r="W59" s="79"/>
      <c r="X59" s="80"/>
      <c r="Y59" s="122"/>
      <c r="Z59" s="123"/>
      <c r="AA59" s="12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3"/>
    </row>
    <row r="60" spans="1:78" x14ac:dyDescent="0.3">
      <c r="A60" s="9" t="s">
        <v>2</v>
      </c>
      <c r="B60" s="6">
        <v>3.8791000000000002</v>
      </c>
      <c r="C60" s="28">
        <v>-0.45540000000000003</v>
      </c>
      <c r="D60" s="6">
        <v>3.2023000000000001</v>
      </c>
      <c r="E60" s="28">
        <v>-0.192</v>
      </c>
      <c r="F60" s="6">
        <v>1.3853</v>
      </c>
      <c r="G60" s="28">
        <v>0.9032</v>
      </c>
      <c r="H60" s="6">
        <v>2.5886</v>
      </c>
      <c r="I60" s="28">
        <v>0.10059999999999999</v>
      </c>
      <c r="J60" s="78"/>
      <c r="K60" s="79"/>
      <c r="L60" s="80"/>
      <c r="M60" s="187"/>
      <c r="N60" s="123"/>
      <c r="O60" s="123"/>
      <c r="P60" s="78"/>
      <c r="Q60" s="79"/>
      <c r="R60" s="80"/>
      <c r="S60" s="78"/>
      <c r="T60" s="123"/>
      <c r="U60" s="123"/>
      <c r="V60" s="78"/>
      <c r="W60" s="79"/>
      <c r="X60" s="80"/>
      <c r="Y60" s="122"/>
      <c r="Z60" s="123"/>
      <c r="AA60" s="12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</row>
    <row r="61" spans="1:78" ht="16.8" thickBot="1" x14ac:dyDescent="0.35">
      <c r="A61" s="8" t="s">
        <v>3</v>
      </c>
      <c r="B61" s="7">
        <v>5.0206</v>
      </c>
      <c r="C61" s="27">
        <v>-0.51119999999999999</v>
      </c>
      <c r="D61" s="7">
        <v>3.931</v>
      </c>
      <c r="E61" s="27">
        <v>-0.1656</v>
      </c>
      <c r="F61" s="7">
        <v>1.7101</v>
      </c>
      <c r="G61" s="27">
        <v>0.91769999999999996</v>
      </c>
      <c r="H61" s="7">
        <v>3.2046999999999999</v>
      </c>
      <c r="I61" s="27">
        <v>0.1129</v>
      </c>
      <c r="J61" s="87"/>
      <c r="K61" s="88"/>
      <c r="L61" s="89"/>
      <c r="M61" s="188"/>
      <c r="N61" s="123"/>
      <c r="O61" s="123"/>
      <c r="P61" s="87"/>
      <c r="Q61" s="88"/>
      <c r="R61" s="89"/>
      <c r="S61" s="87"/>
      <c r="T61" s="123"/>
      <c r="U61" s="123"/>
      <c r="V61" s="87"/>
      <c r="W61" s="88"/>
      <c r="X61" s="89"/>
      <c r="Y61" s="122"/>
      <c r="Z61" s="123"/>
      <c r="AA61" s="123"/>
      <c r="AB61" s="118"/>
      <c r="AC61" s="118"/>
      <c r="AD61" s="118"/>
      <c r="AE61" s="118"/>
      <c r="AF61" s="118"/>
      <c r="AG61" s="118"/>
      <c r="AH61" s="118"/>
      <c r="AI61" s="93"/>
      <c r="AJ61" s="118"/>
      <c r="AK61" s="118"/>
      <c r="AL61" s="118"/>
      <c r="AM61" s="118"/>
      <c r="AN61" s="118"/>
      <c r="AO61" s="118"/>
      <c r="AP61" s="118"/>
      <c r="AQ61" s="93"/>
      <c r="AR61" s="118"/>
      <c r="AS61" s="118"/>
      <c r="AT61" s="118"/>
      <c r="AU61" s="118"/>
      <c r="AV61" s="118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</row>
    <row r="62" spans="1:78" x14ac:dyDescent="0.3">
      <c r="A62" s="9" t="s">
        <v>4</v>
      </c>
      <c r="B62" s="6">
        <v>6.0389999999999997</v>
      </c>
      <c r="C62" s="28">
        <v>-0.50860000000000005</v>
      </c>
      <c r="D62" s="6">
        <v>4.8007</v>
      </c>
      <c r="E62" s="28">
        <v>-0.19170000000000001</v>
      </c>
      <c r="F62" s="6">
        <v>2.0581999999999998</v>
      </c>
      <c r="G62" s="28">
        <v>0.91290000000000004</v>
      </c>
      <c r="H62" s="6">
        <v>3.8675999999999999</v>
      </c>
      <c r="I62" s="28">
        <v>0.1047</v>
      </c>
      <c r="J62" s="78"/>
      <c r="K62" s="79"/>
      <c r="L62" s="80"/>
      <c r="M62" s="187"/>
      <c r="N62" s="123"/>
      <c r="O62" s="123"/>
      <c r="P62" s="78"/>
      <c r="Q62" s="79"/>
      <c r="R62" s="80"/>
      <c r="S62" s="78"/>
      <c r="T62" s="123"/>
      <c r="U62" s="123"/>
      <c r="V62" s="78"/>
      <c r="W62" s="79"/>
      <c r="X62" s="80"/>
      <c r="Y62" s="122"/>
      <c r="Z62" s="123"/>
      <c r="AA62" s="12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  <c r="AT62" s="93"/>
      <c r="AU62" s="93"/>
      <c r="AV62" s="9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3"/>
      <c r="BI62" s="123"/>
      <c r="BJ62" s="123"/>
      <c r="BK62" s="123"/>
      <c r="BL62" s="123"/>
      <c r="BM62" s="123"/>
      <c r="BN62" s="123"/>
      <c r="BO62" s="123"/>
      <c r="BP62" s="123"/>
      <c r="BQ62" s="123"/>
      <c r="BR62" s="123"/>
      <c r="BS62" s="123"/>
      <c r="BT62" s="123"/>
      <c r="BU62" s="123"/>
      <c r="BV62" s="123"/>
      <c r="BW62" s="123"/>
      <c r="BX62" s="123"/>
      <c r="BY62" s="123"/>
      <c r="BZ62" s="123"/>
    </row>
    <row r="63" spans="1:78" ht="16.8" thickBot="1" x14ac:dyDescent="0.35">
      <c r="A63" s="9" t="s">
        <v>5</v>
      </c>
      <c r="B63" s="6">
        <v>6.9</v>
      </c>
      <c r="C63" s="28">
        <v>-0.46970000000000001</v>
      </c>
      <c r="D63" s="6">
        <v>5.5292000000000003</v>
      </c>
      <c r="E63" s="28">
        <v>-0.17269999999999999</v>
      </c>
      <c r="F63" s="6">
        <v>2.3824000000000001</v>
      </c>
      <c r="G63" s="28">
        <v>0.92210000000000003</v>
      </c>
      <c r="H63" s="6">
        <v>4.4866999999999999</v>
      </c>
      <c r="I63" s="28">
        <v>0.1133</v>
      </c>
      <c r="J63" s="78"/>
      <c r="K63" s="79"/>
      <c r="L63" s="80"/>
      <c r="M63" s="188"/>
      <c r="N63" s="123"/>
      <c r="O63" s="123"/>
      <c r="P63" s="78"/>
      <c r="Q63" s="79"/>
      <c r="R63" s="80"/>
      <c r="S63" s="78"/>
      <c r="T63" s="123"/>
      <c r="U63" s="123"/>
      <c r="V63" s="78"/>
      <c r="W63" s="79"/>
      <c r="X63" s="80"/>
      <c r="Y63" s="122"/>
      <c r="Z63" s="123"/>
      <c r="AA63" s="12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123"/>
      <c r="AX63" s="123"/>
      <c r="AY63" s="123"/>
      <c r="AZ63" s="123"/>
      <c r="BA63" s="123"/>
      <c r="BB63" s="123"/>
      <c r="BC63" s="123"/>
      <c r="BD63" s="123"/>
      <c r="BE63" s="123"/>
      <c r="BF63" s="123"/>
      <c r="BG63" s="123"/>
      <c r="BH63" s="123"/>
      <c r="BI63" s="123"/>
      <c r="BJ63" s="123"/>
      <c r="BK63" s="123"/>
      <c r="BL63" s="123"/>
      <c r="BM63" s="123"/>
      <c r="BN63" s="123"/>
      <c r="BO63" s="123"/>
      <c r="BP63" s="123"/>
      <c r="BQ63" s="123"/>
      <c r="BR63" s="123"/>
      <c r="BS63" s="123"/>
      <c r="BT63" s="123"/>
      <c r="BU63" s="123"/>
      <c r="BV63" s="123"/>
      <c r="BW63" s="123"/>
      <c r="BX63" s="123"/>
      <c r="BY63" s="123"/>
      <c r="BZ63" s="123"/>
    </row>
    <row r="64" spans="1:78" s="150" customFormat="1" ht="16.8" thickBot="1" x14ac:dyDescent="0.35">
      <c r="A64" s="18" t="s">
        <v>6</v>
      </c>
      <c r="B64" s="10">
        <v>7.8304</v>
      </c>
      <c r="C64" s="29">
        <v>-0.45679999999999998</v>
      </c>
      <c r="D64" s="10">
        <v>6.4286000000000003</v>
      </c>
      <c r="E64" s="29">
        <v>-0.19670000000000001</v>
      </c>
      <c r="F64" s="10">
        <v>2.7854999999999999</v>
      </c>
      <c r="G64" s="29">
        <v>0.89600000000000002</v>
      </c>
      <c r="H64" s="10">
        <v>5.1561000000000003</v>
      </c>
      <c r="I64" s="29">
        <v>0.10539999999999999</v>
      </c>
      <c r="J64" s="81"/>
      <c r="K64" s="82"/>
      <c r="L64" s="83"/>
      <c r="M64" s="187"/>
      <c r="N64" s="148"/>
      <c r="O64" s="148"/>
      <c r="P64" s="81"/>
      <c r="Q64" s="82"/>
      <c r="R64" s="83"/>
      <c r="S64" s="81"/>
      <c r="T64" s="148"/>
      <c r="U64" s="148"/>
      <c r="V64" s="81"/>
      <c r="W64" s="82"/>
      <c r="X64" s="83"/>
      <c r="Y64" s="149"/>
      <c r="Z64" s="148"/>
      <c r="AA64" s="148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</row>
    <row r="65" spans="1:78" s="141" customFormat="1" ht="16.8" thickBot="1" x14ac:dyDescent="0.35">
      <c r="A65" s="220" t="s">
        <v>32</v>
      </c>
      <c r="B65" s="61" t="s">
        <v>0</v>
      </c>
      <c r="C65" s="62"/>
      <c r="D65" s="61" t="s">
        <v>17</v>
      </c>
      <c r="E65" s="62"/>
      <c r="F65" s="61" t="s">
        <v>18</v>
      </c>
      <c r="G65" s="62"/>
      <c r="H65" s="61" t="s">
        <v>19</v>
      </c>
      <c r="I65" s="62"/>
      <c r="J65" s="72"/>
      <c r="K65" s="73"/>
      <c r="L65" s="74"/>
      <c r="M65" s="188"/>
      <c r="N65" s="138"/>
      <c r="O65" s="138"/>
      <c r="P65" s="72"/>
      <c r="Q65" s="73"/>
      <c r="R65" s="74"/>
      <c r="S65" s="72"/>
      <c r="T65" s="138"/>
      <c r="U65" s="138"/>
      <c r="V65" s="72"/>
      <c r="W65" s="73"/>
      <c r="X65" s="74"/>
      <c r="Y65" s="139"/>
      <c r="Z65" s="138"/>
      <c r="AA65" s="138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38"/>
      <c r="AX65" s="138"/>
      <c r="AY65" s="138"/>
      <c r="AZ65" s="138"/>
      <c r="BA65" s="138"/>
      <c r="BB65" s="138"/>
      <c r="BC65" s="138"/>
      <c r="BD65" s="138"/>
      <c r="BE65" s="138"/>
      <c r="BF65" s="138"/>
      <c r="BG65" s="138"/>
      <c r="BH65" s="138"/>
      <c r="BI65" s="138"/>
      <c r="BJ65" s="138"/>
      <c r="BK65" s="138"/>
      <c r="BL65" s="138"/>
      <c r="BM65" s="138"/>
      <c r="BN65" s="138"/>
      <c r="BO65" s="138"/>
      <c r="BP65" s="138"/>
      <c r="BQ65" s="138"/>
      <c r="BR65" s="138"/>
      <c r="BS65" s="138"/>
      <c r="BT65" s="138"/>
      <c r="BU65" s="138"/>
      <c r="BV65" s="138"/>
      <c r="BW65" s="138"/>
      <c r="BX65" s="138"/>
      <c r="BY65" s="138"/>
      <c r="BZ65" s="138"/>
    </row>
    <row r="66" spans="1:78" s="144" customFormat="1" ht="16.8" thickBot="1" x14ac:dyDescent="0.35">
      <c r="A66" s="221"/>
      <c r="B66" s="63" t="s">
        <v>25</v>
      </c>
      <c r="C66" s="64" t="s">
        <v>26</v>
      </c>
      <c r="D66" s="63" t="s">
        <v>25</v>
      </c>
      <c r="E66" s="64" t="s">
        <v>26</v>
      </c>
      <c r="F66" s="63" t="s">
        <v>25</v>
      </c>
      <c r="G66" s="64" t="s">
        <v>26</v>
      </c>
      <c r="H66" s="63" t="s">
        <v>25</v>
      </c>
      <c r="I66" s="64" t="s">
        <v>26</v>
      </c>
      <c r="J66" s="75"/>
      <c r="K66" s="76"/>
      <c r="L66" s="77"/>
      <c r="M66" s="187"/>
      <c r="N66" s="142"/>
      <c r="O66" s="142"/>
      <c r="P66" s="75"/>
      <c r="Q66" s="76"/>
      <c r="R66" s="77"/>
      <c r="S66" s="75"/>
      <c r="T66" s="142"/>
      <c r="U66" s="142"/>
      <c r="V66" s="75"/>
      <c r="W66" s="76"/>
      <c r="X66" s="77"/>
      <c r="Y66" s="143"/>
      <c r="Z66" s="142"/>
      <c r="AA66" s="142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</row>
    <row r="67" spans="1:78" s="147" customFormat="1" ht="16.8" thickBot="1" x14ac:dyDescent="0.35">
      <c r="A67" s="45" t="s">
        <v>10</v>
      </c>
      <c r="B67" s="46">
        <v>1.4908999999999999</v>
      </c>
      <c r="C67" s="39">
        <v>-1.1304000000000001</v>
      </c>
      <c r="D67" s="46">
        <v>1.0707</v>
      </c>
      <c r="E67" s="39">
        <v>-0.64700000000000002</v>
      </c>
      <c r="F67" s="46">
        <v>0.51380000000000003</v>
      </c>
      <c r="G67" s="39">
        <v>0.40770000000000001</v>
      </c>
      <c r="H67" s="46">
        <v>0.83699999999999997</v>
      </c>
      <c r="I67" s="39">
        <v>-0.2651</v>
      </c>
      <c r="J67" s="45"/>
      <c r="K67" s="46"/>
      <c r="L67" s="47"/>
      <c r="M67" s="188"/>
      <c r="N67" s="145"/>
      <c r="O67" s="145"/>
      <c r="P67" s="45"/>
      <c r="Q67" s="46"/>
      <c r="R67" s="47"/>
      <c r="S67" s="45"/>
      <c r="T67" s="145"/>
      <c r="U67" s="145"/>
      <c r="V67" s="45"/>
      <c r="W67" s="46"/>
      <c r="X67" s="47"/>
      <c r="Y67" s="146"/>
      <c r="Z67" s="145"/>
      <c r="AA67" s="145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5"/>
      <c r="BM67" s="145"/>
      <c r="BN67" s="145"/>
      <c r="BO67" s="145"/>
      <c r="BP67" s="145"/>
      <c r="BQ67" s="145"/>
      <c r="BR67" s="145"/>
      <c r="BS67" s="145"/>
      <c r="BT67" s="145"/>
      <c r="BU67" s="145"/>
      <c r="BV67" s="145"/>
      <c r="BW67" s="145"/>
      <c r="BX67" s="145"/>
      <c r="BY67" s="145"/>
      <c r="BZ67" s="145"/>
    </row>
    <row r="68" spans="1:78" x14ac:dyDescent="0.3">
      <c r="A68" s="9" t="s">
        <v>1</v>
      </c>
      <c r="B68" s="6">
        <v>2.6166999999999998</v>
      </c>
      <c r="C68" s="28">
        <v>-0.90790000000000004</v>
      </c>
      <c r="D68" s="6">
        <v>2.0476000000000001</v>
      </c>
      <c r="E68" s="28">
        <v>-0.57320000000000004</v>
      </c>
      <c r="F68" s="6">
        <v>0.9637</v>
      </c>
      <c r="G68" s="28">
        <v>0.49130000000000001</v>
      </c>
      <c r="H68" s="6">
        <v>1.6603000000000001</v>
      </c>
      <c r="I68" s="28">
        <v>-0.254</v>
      </c>
      <c r="J68" s="78"/>
      <c r="K68" s="79"/>
      <c r="L68" s="80"/>
      <c r="M68" s="187"/>
      <c r="N68" s="123"/>
      <c r="O68" s="123"/>
      <c r="P68" s="78"/>
      <c r="Q68" s="79"/>
      <c r="R68" s="80"/>
      <c r="S68" s="78"/>
      <c r="T68" s="123"/>
      <c r="U68" s="123"/>
      <c r="V68" s="78"/>
      <c r="W68" s="79"/>
      <c r="X68" s="80"/>
      <c r="Y68" s="122"/>
      <c r="Z68" s="123"/>
      <c r="AA68" s="12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123"/>
      <c r="AX68" s="123"/>
      <c r="AY68" s="123"/>
      <c r="AZ68" s="123"/>
      <c r="BA68" s="123"/>
      <c r="BB68" s="123"/>
      <c r="BC68" s="123"/>
      <c r="BD68" s="123"/>
      <c r="BE68" s="123"/>
      <c r="BF68" s="123"/>
      <c r="BG68" s="123"/>
      <c r="BH68" s="123"/>
      <c r="BI68" s="123"/>
      <c r="BJ68" s="123"/>
      <c r="BK68" s="123"/>
      <c r="BL68" s="123"/>
      <c r="BM68" s="123"/>
      <c r="BN68" s="123"/>
      <c r="BO68" s="123"/>
      <c r="BP68" s="123"/>
      <c r="BQ68" s="123"/>
      <c r="BR68" s="123"/>
      <c r="BS68" s="123"/>
      <c r="BT68" s="123"/>
      <c r="BU68" s="123"/>
      <c r="BV68" s="123"/>
      <c r="BW68" s="123"/>
      <c r="BX68" s="123"/>
      <c r="BY68" s="123"/>
      <c r="BZ68" s="123"/>
    </row>
    <row r="69" spans="1:78" ht="16.8" thickBot="1" x14ac:dyDescent="0.35">
      <c r="A69" s="9" t="s">
        <v>7</v>
      </c>
      <c r="B69" s="6">
        <v>3.9228000000000001</v>
      </c>
      <c r="C69" s="28">
        <v>-0.92410000000000003</v>
      </c>
      <c r="D69" s="6">
        <v>2.9497</v>
      </c>
      <c r="E69" s="28">
        <v>-0.50660000000000005</v>
      </c>
      <c r="F69" s="6">
        <v>1.4245000000000001</v>
      </c>
      <c r="G69" s="28">
        <v>0.50980000000000003</v>
      </c>
      <c r="H69" s="6">
        <v>2.4493999999999998</v>
      </c>
      <c r="I69" s="28">
        <v>-0.2303</v>
      </c>
      <c r="J69" s="78"/>
      <c r="K69" s="79"/>
      <c r="L69" s="80"/>
      <c r="M69" s="188"/>
      <c r="N69" s="123"/>
      <c r="O69" s="123"/>
      <c r="P69" s="78"/>
      <c r="Q69" s="79"/>
      <c r="R69" s="80"/>
      <c r="S69" s="78"/>
      <c r="T69" s="123"/>
      <c r="U69" s="123"/>
      <c r="V69" s="78"/>
      <c r="W69" s="79"/>
      <c r="X69" s="80"/>
      <c r="Y69" s="122"/>
      <c r="Z69" s="123"/>
      <c r="AA69" s="12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123"/>
      <c r="AX69" s="123"/>
      <c r="AY69" s="123"/>
      <c r="AZ69" s="123"/>
      <c r="BA69" s="123"/>
      <c r="BB69" s="123"/>
      <c r="BC69" s="123"/>
      <c r="BD69" s="123"/>
      <c r="BE69" s="123"/>
      <c r="BF69" s="123"/>
      <c r="BG69" s="123"/>
      <c r="BH69" s="123"/>
      <c r="BI69" s="123"/>
      <c r="BJ69" s="123"/>
      <c r="BK69" s="123"/>
      <c r="BL69" s="123"/>
      <c r="BM69" s="123"/>
      <c r="BN69" s="123"/>
      <c r="BO69" s="123"/>
      <c r="BP69" s="123"/>
      <c r="BQ69" s="123"/>
      <c r="BR69" s="123"/>
      <c r="BS69" s="123"/>
      <c r="BT69" s="123"/>
      <c r="BU69" s="123"/>
      <c r="BV69" s="123"/>
      <c r="BW69" s="123"/>
      <c r="BX69" s="123"/>
      <c r="BY69" s="123"/>
      <c r="BZ69" s="123"/>
    </row>
    <row r="70" spans="1:78" x14ac:dyDescent="0.3">
      <c r="A70" s="9" t="s">
        <v>2</v>
      </c>
      <c r="B70" s="6">
        <v>4.8719000000000001</v>
      </c>
      <c r="C70" s="28">
        <v>-0.79849999999999999</v>
      </c>
      <c r="D70" s="6">
        <v>3.8664999999999998</v>
      </c>
      <c r="E70" s="28">
        <v>-0.48110000000000003</v>
      </c>
      <c r="F70" s="6">
        <v>1.7715000000000001</v>
      </c>
      <c r="G70" s="28">
        <v>0.60440000000000005</v>
      </c>
      <c r="H70" s="6">
        <v>3.2576000000000001</v>
      </c>
      <c r="I70" s="28">
        <v>-0.2266</v>
      </c>
      <c r="J70" s="78"/>
      <c r="K70" s="79"/>
      <c r="L70" s="80"/>
      <c r="M70" s="187"/>
      <c r="N70" s="123"/>
      <c r="O70" s="123"/>
      <c r="P70" s="78"/>
      <c r="Q70" s="79"/>
      <c r="R70" s="80"/>
      <c r="S70" s="78"/>
      <c r="T70" s="123"/>
      <c r="U70" s="123"/>
      <c r="V70" s="78"/>
      <c r="W70" s="79"/>
      <c r="X70" s="80"/>
      <c r="Y70" s="122"/>
      <c r="Z70" s="123"/>
      <c r="AA70" s="12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/>
      <c r="BN70" s="123"/>
      <c r="BO70" s="123"/>
      <c r="BP70" s="123"/>
      <c r="BQ70" s="123"/>
      <c r="BR70" s="123"/>
      <c r="BS70" s="123"/>
      <c r="BT70" s="123"/>
      <c r="BU70" s="123"/>
      <c r="BV70" s="123"/>
      <c r="BW70" s="123"/>
      <c r="BX70" s="123"/>
      <c r="BY70" s="123"/>
      <c r="BZ70" s="123"/>
    </row>
    <row r="71" spans="1:78" ht="16.8" thickBot="1" x14ac:dyDescent="0.35">
      <c r="A71" s="9" t="s">
        <v>3</v>
      </c>
      <c r="B71" s="6">
        <v>5.7736000000000001</v>
      </c>
      <c r="C71" s="28">
        <v>-0.69930000000000003</v>
      </c>
      <c r="D71" s="6">
        <v>4.8216000000000001</v>
      </c>
      <c r="E71" s="28">
        <v>-0.47699999999999998</v>
      </c>
      <c r="F71" s="6">
        <v>2.1684999999999999</v>
      </c>
      <c r="G71" s="28">
        <v>0.62960000000000005</v>
      </c>
      <c r="H71" s="6">
        <v>4.0861000000000001</v>
      </c>
      <c r="I71" s="28">
        <v>-0.23150000000000001</v>
      </c>
      <c r="J71" s="78"/>
      <c r="K71" s="79"/>
      <c r="L71" s="80"/>
      <c r="M71" s="188"/>
      <c r="N71" s="123"/>
      <c r="O71" s="123"/>
      <c r="P71" s="78"/>
      <c r="Q71" s="79"/>
      <c r="R71" s="80"/>
      <c r="S71" s="78"/>
      <c r="T71" s="123"/>
      <c r="U71" s="123"/>
      <c r="V71" s="78"/>
      <c r="W71" s="79"/>
      <c r="X71" s="80"/>
      <c r="Y71" s="122"/>
      <c r="Z71" s="123"/>
      <c r="AA71" s="12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123"/>
      <c r="AX71" s="123"/>
      <c r="AY71" s="123"/>
      <c r="AZ71" s="123"/>
      <c r="BA71" s="123"/>
      <c r="BB71" s="123"/>
      <c r="BC71" s="123"/>
      <c r="BD71" s="123"/>
      <c r="BE71" s="123"/>
      <c r="BF71" s="123"/>
      <c r="BG71" s="123"/>
      <c r="BH71" s="123"/>
      <c r="BI71" s="123"/>
      <c r="BJ71" s="123"/>
      <c r="BK71" s="123"/>
      <c r="BL71" s="123"/>
      <c r="BM71" s="123"/>
      <c r="BN71" s="123"/>
      <c r="BO71" s="123"/>
      <c r="BP71" s="123"/>
      <c r="BQ71" s="123"/>
      <c r="BR71" s="123"/>
      <c r="BS71" s="123"/>
      <c r="BT71" s="123"/>
      <c r="BU71" s="123"/>
      <c r="BV71" s="123"/>
      <c r="BW71" s="123"/>
      <c r="BX71" s="123"/>
      <c r="BY71" s="123"/>
      <c r="BZ71" s="123"/>
    </row>
    <row r="72" spans="1:78" x14ac:dyDescent="0.3">
      <c r="A72" s="8" t="s">
        <v>4</v>
      </c>
      <c r="B72" s="7">
        <v>6.6524000000000001</v>
      </c>
      <c r="C72" s="27">
        <v>-0.61460000000000004</v>
      </c>
      <c r="D72" s="7">
        <v>5.8486000000000002</v>
      </c>
      <c r="E72" s="27">
        <v>-0.49380000000000002</v>
      </c>
      <c r="F72" s="7">
        <v>2.5981999999999998</v>
      </c>
      <c r="G72" s="27">
        <v>0.63180000000000003</v>
      </c>
      <c r="H72" s="7">
        <v>4.9604999999999997</v>
      </c>
      <c r="I72" s="27">
        <v>-0.24840000000000001</v>
      </c>
      <c r="J72" s="87"/>
      <c r="K72" s="88"/>
      <c r="L72" s="89"/>
      <c r="M72" s="187"/>
      <c r="N72" s="123"/>
      <c r="O72" s="123"/>
      <c r="P72" s="87"/>
      <c r="Q72" s="88"/>
      <c r="R72" s="89"/>
      <c r="S72" s="87"/>
      <c r="T72" s="123"/>
      <c r="U72" s="123"/>
      <c r="V72" s="87"/>
      <c r="W72" s="88"/>
      <c r="X72" s="89"/>
      <c r="Y72" s="122"/>
      <c r="Z72" s="123"/>
      <c r="AA72" s="123"/>
      <c r="AB72" s="118"/>
      <c r="AC72" s="118"/>
      <c r="AD72" s="118"/>
      <c r="AE72" s="118"/>
      <c r="AF72" s="118"/>
      <c r="AG72" s="118"/>
      <c r="AH72" s="118"/>
      <c r="AI72" s="93"/>
      <c r="AJ72" s="118"/>
      <c r="AK72" s="118"/>
      <c r="AL72" s="118"/>
      <c r="AM72" s="118"/>
      <c r="AN72" s="118"/>
      <c r="AO72" s="118"/>
      <c r="AP72" s="118"/>
      <c r="AQ72" s="93"/>
      <c r="AR72" s="118"/>
      <c r="AS72" s="118"/>
      <c r="AT72" s="118"/>
      <c r="AU72" s="118"/>
      <c r="AV72" s="118"/>
      <c r="AW72" s="123"/>
      <c r="AX72" s="123"/>
      <c r="AY72" s="123"/>
      <c r="AZ72" s="123"/>
      <c r="BA72" s="123"/>
      <c r="BB72" s="123"/>
      <c r="BC72" s="123"/>
      <c r="BD72" s="123"/>
      <c r="BE72" s="123"/>
      <c r="BF72" s="123"/>
      <c r="BG72" s="123"/>
      <c r="BH72" s="123"/>
      <c r="BI72" s="123"/>
      <c r="BJ72" s="123"/>
      <c r="BK72" s="123"/>
      <c r="BL72" s="123"/>
      <c r="BM72" s="123"/>
      <c r="BN72" s="123"/>
      <c r="BO72" s="123"/>
      <c r="BP72" s="123"/>
      <c r="BQ72" s="123"/>
      <c r="BR72" s="123"/>
      <c r="BS72" s="123"/>
      <c r="BT72" s="123"/>
      <c r="BU72" s="123"/>
      <c r="BV72" s="123"/>
      <c r="BW72" s="123"/>
      <c r="BX72" s="123"/>
      <c r="BY72" s="123"/>
      <c r="BZ72" s="123"/>
    </row>
    <row r="73" spans="1:78" ht="16.8" thickBot="1" x14ac:dyDescent="0.35">
      <c r="A73" s="9" t="s">
        <v>5</v>
      </c>
      <c r="B73" s="6">
        <v>7.5960000000000001</v>
      </c>
      <c r="C73" s="28">
        <v>-0.58499999999999996</v>
      </c>
      <c r="D73" s="6">
        <v>6.7868000000000004</v>
      </c>
      <c r="E73" s="28">
        <v>-0.48609999999999998</v>
      </c>
      <c r="F73" s="6">
        <v>3.0226000000000002</v>
      </c>
      <c r="G73" s="28">
        <v>0.63490000000000002</v>
      </c>
      <c r="H73" s="6">
        <v>5.7687999999999997</v>
      </c>
      <c r="I73" s="28">
        <v>-0.2437</v>
      </c>
      <c r="J73" s="78"/>
      <c r="K73" s="79"/>
      <c r="L73" s="80"/>
      <c r="M73" s="188"/>
      <c r="N73" s="123"/>
      <c r="O73" s="123"/>
      <c r="P73" s="78"/>
      <c r="Q73" s="79"/>
      <c r="R73" s="80"/>
      <c r="S73" s="78"/>
      <c r="T73" s="123"/>
      <c r="U73" s="123"/>
      <c r="V73" s="78"/>
      <c r="W73" s="79"/>
      <c r="X73" s="80"/>
      <c r="Y73" s="122"/>
      <c r="Z73" s="123"/>
      <c r="AA73" s="12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123"/>
      <c r="AX73" s="123"/>
      <c r="AY73" s="123"/>
      <c r="AZ73" s="123"/>
      <c r="BA73" s="123"/>
      <c r="BB73" s="123"/>
      <c r="BC73" s="123"/>
      <c r="BD73" s="123"/>
      <c r="BE73" s="123"/>
      <c r="BF73" s="123"/>
      <c r="BG73" s="123"/>
      <c r="BH73" s="123"/>
      <c r="BI73" s="123"/>
      <c r="BJ73" s="123"/>
      <c r="BK73" s="123"/>
      <c r="BL73" s="123"/>
      <c r="BM73" s="123"/>
      <c r="BN73" s="123"/>
      <c r="BO73" s="123"/>
      <c r="BP73" s="123"/>
      <c r="BQ73" s="123"/>
      <c r="BR73" s="123"/>
      <c r="BS73" s="123"/>
      <c r="BT73" s="123"/>
      <c r="BU73" s="123"/>
      <c r="BV73" s="123"/>
      <c r="BW73" s="123"/>
      <c r="BX73" s="123"/>
      <c r="BY73" s="123"/>
      <c r="BZ73" s="123"/>
    </row>
    <row r="74" spans="1:78" s="150" customFormat="1" ht="16.8" thickBot="1" x14ac:dyDescent="0.35">
      <c r="A74" s="18" t="s">
        <v>6</v>
      </c>
      <c r="B74" s="10">
        <v>8.7685999999999993</v>
      </c>
      <c r="C74" s="29">
        <v>-0.60270000000000001</v>
      </c>
      <c r="D74" s="10">
        <v>7.7222</v>
      </c>
      <c r="E74" s="29">
        <v>-0.47949999999999998</v>
      </c>
      <c r="F74" s="10">
        <v>3.4807999999999999</v>
      </c>
      <c r="G74" s="29">
        <v>0.62760000000000005</v>
      </c>
      <c r="H74" s="10">
        <v>6.6281999999999996</v>
      </c>
      <c r="I74" s="29">
        <v>-0.25159999999999999</v>
      </c>
      <c r="J74" s="81"/>
      <c r="K74" s="82"/>
      <c r="L74" s="83"/>
      <c r="M74" s="81"/>
      <c r="N74" s="148"/>
      <c r="O74" s="148"/>
      <c r="P74" s="81"/>
      <c r="Q74" s="82"/>
      <c r="R74" s="83"/>
      <c r="S74" s="81"/>
      <c r="T74" s="148"/>
      <c r="U74" s="148"/>
      <c r="V74" s="81"/>
      <c r="W74" s="82"/>
      <c r="X74" s="83"/>
      <c r="Y74" s="149"/>
      <c r="Z74" s="148"/>
      <c r="AA74" s="148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</row>
    <row r="75" spans="1:78" s="141" customFormat="1" x14ac:dyDescent="0.3">
      <c r="A75" s="218" t="s">
        <v>33</v>
      </c>
      <c r="B75" s="13" t="s">
        <v>0</v>
      </c>
      <c r="C75" s="33"/>
      <c r="D75" s="13" t="s">
        <v>17</v>
      </c>
      <c r="E75" s="33"/>
      <c r="F75" s="13" t="s">
        <v>18</v>
      </c>
      <c r="G75" s="33"/>
      <c r="H75" s="13" t="s">
        <v>19</v>
      </c>
      <c r="I75" s="33"/>
      <c r="J75" s="72"/>
      <c r="K75" s="73"/>
      <c r="L75" s="74"/>
      <c r="M75" s="72"/>
      <c r="N75" s="138"/>
      <c r="O75" s="138"/>
      <c r="P75" s="72"/>
      <c r="Q75" s="73"/>
      <c r="R75" s="74"/>
      <c r="S75" s="72"/>
      <c r="T75" s="138"/>
      <c r="U75" s="138"/>
      <c r="V75" s="72"/>
      <c r="W75" s="73"/>
      <c r="X75" s="74"/>
      <c r="Y75" s="139"/>
      <c r="Z75" s="138"/>
      <c r="AA75" s="138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38"/>
      <c r="AX75" s="138"/>
      <c r="AY75" s="138"/>
      <c r="AZ75" s="138"/>
      <c r="BA75" s="138"/>
      <c r="BB75" s="138"/>
      <c r="BC75" s="138"/>
      <c r="BD75" s="138"/>
      <c r="BE75" s="138"/>
      <c r="BF75" s="138"/>
      <c r="BG75" s="138"/>
      <c r="BH75" s="138"/>
      <c r="BI75" s="138"/>
      <c r="BJ75" s="138"/>
      <c r="BK75" s="138"/>
      <c r="BL75" s="138"/>
      <c r="BM75" s="138"/>
      <c r="BN75" s="138"/>
      <c r="BO75" s="138"/>
      <c r="BP75" s="138"/>
      <c r="BQ75" s="138"/>
      <c r="BR75" s="138"/>
      <c r="BS75" s="138"/>
      <c r="BT75" s="138"/>
      <c r="BU75" s="138"/>
      <c r="BV75" s="138"/>
      <c r="BW75" s="138"/>
      <c r="BX75" s="138"/>
      <c r="BY75" s="138"/>
      <c r="BZ75" s="138"/>
    </row>
    <row r="76" spans="1:78" s="144" customFormat="1" ht="16.8" thickBot="1" x14ac:dyDescent="0.35">
      <c r="A76" s="219"/>
      <c r="B76" s="65" t="s">
        <v>25</v>
      </c>
      <c r="C76" s="66" t="s">
        <v>26</v>
      </c>
      <c r="D76" s="65" t="s">
        <v>25</v>
      </c>
      <c r="E76" s="66" t="s">
        <v>26</v>
      </c>
      <c r="F76" s="65" t="s">
        <v>25</v>
      </c>
      <c r="G76" s="66" t="s">
        <v>26</v>
      </c>
      <c r="H76" s="65" t="s">
        <v>25</v>
      </c>
      <c r="I76" s="66" t="s">
        <v>26</v>
      </c>
      <c r="J76" s="75"/>
      <c r="K76" s="76"/>
      <c r="L76" s="77"/>
      <c r="M76" s="75"/>
      <c r="N76" s="142"/>
      <c r="O76" s="142"/>
      <c r="P76" s="75"/>
      <c r="Q76" s="76"/>
      <c r="R76" s="77"/>
      <c r="S76" s="75"/>
      <c r="T76" s="142"/>
      <c r="U76" s="142"/>
      <c r="V76" s="75"/>
      <c r="W76" s="76"/>
      <c r="X76" s="77"/>
      <c r="Y76" s="143"/>
      <c r="Z76" s="142"/>
      <c r="AA76" s="142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  <c r="BQ76" s="142"/>
      <c r="BR76" s="142"/>
      <c r="BS76" s="142"/>
      <c r="BT76" s="142"/>
      <c r="BU76" s="142"/>
      <c r="BV76" s="142"/>
      <c r="BW76" s="142"/>
      <c r="BX76" s="142"/>
      <c r="BY76" s="142"/>
      <c r="BZ76" s="142"/>
    </row>
    <row r="77" spans="1:78" s="147" customFormat="1" x14ac:dyDescent="0.3">
      <c r="A77" s="45" t="s">
        <v>10</v>
      </c>
      <c r="B77" s="46">
        <v>1.4739</v>
      </c>
      <c r="C77" s="39">
        <v>-1.1838</v>
      </c>
      <c r="D77" s="46">
        <v>0.88590000000000002</v>
      </c>
      <c r="E77" s="39">
        <v>-0.34910000000000002</v>
      </c>
      <c r="F77" s="46">
        <v>0.43659999999999999</v>
      </c>
      <c r="G77" s="39">
        <v>0.60870000000000002</v>
      </c>
      <c r="H77" s="46">
        <v>0.80210000000000004</v>
      </c>
      <c r="I77" s="39">
        <v>-0.2036</v>
      </c>
      <c r="J77" s="45"/>
      <c r="K77" s="46"/>
      <c r="L77" s="47"/>
      <c r="M77" s="45"/>
      <c r="N77" s="145"/>
      <c r="O77" s="145"/>
      <c r="P77" s="45"/>
      <c r="Q77" s="46"/>
      <c r="R77" s="47"/>
      <c r="S77" s="45"/>
      <c r="T77" s="145"/>
      <c r="U77" s="145"/>
      <c r="V77" s="45"/>
      <c r="W77" s="46"/>
      <c r="X77" s="47"/>
      <c r="Y77" s="146"/>
      <c r="Z77" s="145"/>
      <c r="AA77" s="145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5"/>
      <c r="BK77" s="145"/>
      <c r="BL77" s="145"/>
      <c r="BM77" s="145"/>
      <c r="BN77" s="145"/>
      <c r="BO77" s="145"/>
      <c r="BP77" s="145"/>
      <c r="BQ77" s="145"/>
      <c r="BR77" s="145"/>
      <c r="BS77" s="145"/>
      <c r="BT77" s="145"/>
      <c r="BU77" s="145"/>
      <c r="BV77" s="145"/>
      <c r="BW77" s="145"/>
      <c r="BX77" s="145"/>
      <c r="BY77" s="145"/>
      <c r="BZ77" s="145"/>
    </row>
    <row r="78" spans="1:78" x14ac:dyDescent="0.3">
      <c r="A78" s="9" t="s">
        <v>1</v>
      </c>
      <c r="B78" s="6">
        <v>2.8532000000000002</v>
      </c>
      <c r="C78" s="28">
        <v>-1.1194</v>
      </c>
      <c r="D78" s="6">
        <v>1.7199</v>
      </c>
      <c r="E78" s="28">
        <v>-0.30359999999999998</v>
      </c>
      <c r="F78" s="6">
        <v>0.85709999999999997</v>
      </c>
      <c r="G78" s="28">
        <v>0.63349999999999995</v>
      </c>
      <c r="H78" s="6">
        <v>1.5294000000000001</v>
      </c>
      <c r="I78" s="28">
        <v>-0.13469999999999999</v>
      </c>
      <c r="J78" s="78"/>
      <c r="K78" s="79"/>
      <c r="L78" s="80"/>
      <c r="M78" s="78"/>
      <c r="N78" s="123"/>
      <c r="O78" s="123"/>
      <c r="P78" s="78"/>
      <c r="Q78" s="79"/>
      <c r="R78" s="80"/>
      <c r="S78" s="78"/>
      <c r="T78" s="123"/>
      <c r="U78" s="123"/>
      <c r="V78" s="78"/>
      <c r="W78" s="79"/>
      <c r="X78" s="80"/>
      <c r="Y78" s="122"/>
      <c r="Z78" s="123"/>
      <c r="AA78" s="12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123"/>
      <c r="AX78" s="123"/>
      <c r="AY78" s="123"/>
      <c r="AZ78" s="123"/>
      <c r="BA78" s="123"/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/>
      <c r="BN78" s="123"/>
      <c r="BO78" s="123"/>
      <c r="BP78" s="123"/>
      <c r="BQ78" s="123"/>
      <c r="BR78" s="123"/>
      <c r="BS78" s="123"/>
      <c r="BT78" s="123"/>
      <c r="BU78" s="123"/>
      <c r="BV78" s="123"/>
      <c r="BW78" s="123"/>
      <c r="BX78" s="123"/>
      <c r="BY78" s="123"/>
      <c r="BZ78" s="123"/>
    </row>
    <row r="79" spans="1:78" x14ac:dyDescent="0.3">
      <c r="A79" s="9" t="s">
        <v>7</v>
      </c>
      <c r="B79" s="6">
        <v>4.3960999999999997</v>
      </c>
      <c r="C79" s="28">
        <v>-1.1685000000000001</v>
      </c>
      <c r="D79" s="6">
        <v>2.5223</v>
      </c>
      <c r="E79" s="28">
        <v>-0.2697</v>
      </c>
      <c r="F79" s="6">
        <v>1.2843</v>
      </c>
      <c r="G79" s="28">
        <v>0.63490000000000002</v>
      </c>
      <c r="H79" s="6">
        <v>2.2864</v>
      </c>
      <c r="I79" s="28">
        <v>-0.13039999999999999</v>
      </c>
      <c r="J79" s="78"/>
      <c r="K79" s="79"/>
      <c r="L79" s="80"/>
      <c r="M79" s="78"/>
      <c r="N79" s="123"/>
      <c r="O79" s="123"/>
      <c r="P79" s="78"/>
      <c r="Q79" s="79"/>
      <c r="R79" s="80"/>
      <c r="S79" s="78"/>
      <c r="T79" s="123"/>
      <c r="U79" s="123"/>
      <c r="V79" s="78"/>
      <c r="W79" s="79"/>
      <c r="X79" s="80"/>
      <c r="Y79" s="122"/>
      <c r="Z79" s="123"/>
      <c r="AA79" s="12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123"/>
      <c r="AX79" s="123"/>
      <c r="AY79" s="123"/>
      <c r="AZ79" s="123"/>
      <c r="BA79" s="123"/>
      <c r="BB79" s="123"/>
      <c r="BC79" s="123"/>
      <c r="BD79" s="123"/>
      <c r="BE79" s="123"/>
      <c r="BF79" s="123"/>
      <c r="BG79" s="123"/>
      <c r="BH79" s="123"/>
      <c r="BI79" s="123"/>
      <c r="BJ79" s="123"/>
      <c r="BK79" s="123"/>
      <c r="BL79" s="123"/>
      <c r="BM79" s="123"/>
      <c r="BN79" s="123"/>
      <c r="BO79" s="123"/>
      <c r="BP79" s="123"/>
      <c r="BQ79" s="123"/>
      <c r="BR79" s="123"/>
      <c r="BS79" s="123"/>
      <c r="BT79" s="123"/>
      <c r="BU79" s="123"/>
      <c r="BV79" s="123"/>
      <c r="BW79" s="123"/>
      <c r="BX79" s="123"/>
      <c r="BY79" s="123"/>
      <c r="BZ79" s="123"/>
    </row>
    <row r="80" spans="1:78" x14ac:dyDescent="0.3">
      <c r="A80" s="9" t="s">
        <v>2</v>
      </c>
      <c r="B80" s="6">
        <v>5.5412999999999997</v>
      </c>
      <c r="C80" s="28">
        <v>-1.0641</v>
      </c>
      <c r="D80" s="6">
        <v>3.3138000000000001</v>
      </c>
      <c r="E80" s="28">
        <v>-0.24759999999999999</v>
      </c>
      <c r="F80" s="6">
        <v>1.7134</v>
      </c>
      <c r="G80" s="28">
        <v>0.63319999999999999</v>
      </c>
      <c r="H80" s="6">
        <v>3.0091999999999999</v>
      </c>
      <c r="I80" s="28">
        <v>-0.1118</v>
      </c>
      <c r="J80" s="78"/>
      <c r="K80" s="79"/>
      <c r="L80" s="80"/>
      <c r="M80" s="78"/>
      <c r="N80" s="123"/>
      <c r="O80" s="123"/>
      <c r="P80" s="78"/>
      <c r="Q80" s="79"/>
      <c r="R80" s="80"/>
      <c r="S80" s="78"/>
      <c r="T80" s="123"/>
      <c r="U80" s="123"/>
      <c r="V80" s="78"/>
      <c r="W80" s="79"/>
      <c r="X80" s="80"/>
      <c r="Y80" s="122"/>
      <c r="Z80" s="123"/>
      <c r="AA80" s="12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  <c r="AT80" s="93"/>
      <c r="AU80" s="93"/>
      <c r="AV80" s="93"/>
      <c r="AW80" s="123"/>
      <c r="AX80" s="123"/>
      <c r="AY80" s="123"/>
      <c r="AZ80" s="123"/>
      <c r="BA80" s="123"/>
      <c r="BB80" s="123"/>
      <c r="BC80" s="123"/>
      <c r="BD80" s="123"/>
      <c r="BE80" s="123"/>
      <c r="BF80" s="123"/>
      <c r="BG80" s="123"/>
      <c r="BH80" s="123"/>
      <c r="BI80" s="123"/>
      <c r="BJ80" s="123"/>
      <c r="BK80" s="123"/>
      <c r="BL80" s="123"/>
      <c r="BM80" s="123"/>
      <c r="BN80" s="123"/>
      <c r="BO80" s="123"/>
      <c r="BP80" s="123"/>
      <c r="BQ80" s="123"/>
      <c r="BR80" s="123"/>
      <c r="BS80" s="123"/>
      <c r="BT80" s="123"/>
      <c r="BU80" s="123"/>
      <c r="BV80" s="123"/>
      <c r="BW80" s="123"/>
      <c r="BX80" s="123"/>
      <c r="BY80" s="123"/>
      <c r="BZ80" s="123"/>
    </row>
    <row r="81" spans="1:78" x14ac:dyDescent="0.3">
      <c r="A81" s="9" t="s">
        <v>3</v>
      </c>
      <c r="B81" s="6">
        <v>6.6574</v>
      </c>
      <c r="C81" s="28">
        <v>-0.99209999999999998</v>
      </c>
      <c r="D81" s="6">
        <v>4.1395999999999997</v>
      </c>
      <c r="E81" s="28">
        <v>-0.2457</v>
      </c>
      <c r="F81" s="6">
        <v>2.1034999999999999</v>
      </c>
      <c r="G81" s="28">
        <v>0.6552</v>
      </c>
      <c r="H81" s="6">
        <v>3.7362000000000002</v>
      </c>
      <c r="I81" s="28">
        <v>-0.10249999999999999</v>
      </c>
      <c r="J81" s="78"/>
      <c r="K81" s="79"/>
      <c r="L81" s="80"/>
      <c r="M81" s="78"/>
      <c r="N81" s="123"/>
      <c r="O81" s="123"/>
      <c r="P81" s="78"/>
      <c r="Q81" s="79"/>
      <c r="R81" s="80"/>
      <c r="S81" s="78"/>
      <c r="T81" s="123"/>
      <c r="U81" s="123"/>
      <c r="V81" s="78"/>
      <c r="W81" s="79"/>
      <c r="X81" s="80"/>
      <c r="Y81" s="122"/>
      <c r="Z81" s="123"/>
      <c r="AA81" s="12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  <c r="AR81" s="93"/>
      <c r="AS81" s="93"/>
      <c r="AT81" s="93"/>
      <c r="AU81" s="93"/>
      <c r="AV81" s="9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/>
      <c r="BQ81" s="123"/>
      <c r="BR81" s="123"/>
      <c r="BS81" s="123"/>
      <c r="BT81" s="123"/>
      <c r="BU81" s="123"/>
      <c r="BV81" s="123"/>
      <c r="BW81" s="123"/>
      <c r="BX81" s="123"/>
      <c r="BY81" s="123"/>
      <c r="BZ81" s="123"/>
    </row>
    <row r="82" spans="1:78" x14ac:dyDescent="0.3">
      <c r="A82" s="9" t="s">
        <v>4</v>
      </c>
      <c r="B82" s="6">
        <v>8.1834000000000007</v>
      </c>
      <c r="C82" s="28">
        <v>-1.0377000000000001</v>
      </c>
      <c r="D82" s="6">
        <v>4.9653</v>
      </c>
      <c r="E82" s="28">
        <v>-0.24429999999999999</v>
      </c>
      <c r="F82" s="6">
        <v>2.5179999999999998</v>
      </c>
      <c r="G82" s="28">
        <v>0.6593</v>
      </c>
      <c r="H82" s="6">
        <v>4.4718</v>
      </c>
      <c r="I82" s="28">
        <v>-9.8900000000000002E-2</v>
      </c>
      <c r="J82" s="78"/>
      <c r="K82" s="79"/>
      <c r="L82" s="80"/>
      <c r="M82" s="78"/>
      <c r="N82" s="123"/>
      <c r="O82" s="123"/>
      <c r="P82" s="78"/>
      <c r="Q82" s="79"/>
      <c r="R82" s="80"/>
      <c r="S82" s="78"/>
      <c r="T82" s="123"/>
      <c r="U82" s="123"/>
      <c r="V82" s="78"/>
      <c r="W82" s="79"/>
      <c r="X82" s="80"/>
      <c r="Y82" s="122"/>
      <c r="Z82" s="123"/>
      <c r="AA82" s="12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  <c r="AT82" s="93"/>
      <c r="AU82" s="93"/>
      <c r="AV82" s="93"/>
      <c r="AW82" s="123"/>
      <c r="AX82" s="123"/>
      <c r="AY82" s="123"/>
      <c r="AZ82" s="123"/>
      <c r="BA82" s="123"/>
      <c r="BB82" s="123"/>
      <c r="BC82" s="123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/>
      <c r="BN82" s="123"/>
      <c r="BO82" s="123"/>
      <c r="BP82" s="123"/>
      <c r="BQ82" s="123"/>
      <c r="BR82" s="123"/>
      <c r="BS82" s="123"/>
      <c r="BT82" s="123"/>
      <c r="BU82" s="123"/>
      <c r="BV82" s="123"/>
      <c r="BW82" s="123"/>
      <c r="BX82" s="123"/>
      <c r="BY82" s="123"/>
      <c r="BZ82" s="123"/>
    </row>
    <row r="83" spans="1:78" x14ac:dyDescent="0.3">
      <c r="A83" s="8" t="s">
        <v>5</v>
      </c>
      <c r="B83" s="7">
        <v>9.2026000000000003</v>
      </c>
      <c r="C83" s="27">
        <v>-0.96679999999999999</v>
      </c>
      <c r="D83" s="7">
        <v>5.7599</v>
      </c>
      <c r="E83" s="27">
        <v>-0.2364</v>
      </c>
      <c r="F83" s="7">
        <v>2.9058000000000002</v>
      </c>
      <c r="G83" s="27">
        <v>0.67249999999999999</v>
      </c>
      <c r="H83" s="7">
        <v>5.2077999999999998</v>
      </c>
      <c r="I83" s="27">
        <v>-9.5799999999999996E-2</v>
      </c>
      <c r="J83" s="87"/>
      <c r="K83" s="88"/>
      <c r="L83" s="89"/>
      <c r="M83" s="87"/>
      <c r="N83" s="123"/>
      <c r="O83" s="123"/>
      <c r="P83" s="87"/>
      <c r="Q83" s="88"/>
      <c r="R83" s="89"/>
      <c r="S83" s="87"/>
      <c r="T83" s="123"/>
      <c r="U83" s="123"/>
      <c r="V83" s="87"/>
      <c r="W83" s="88"/>
      <c r="X83" s="89"/>
      <c r="Y83" s="122"/>
      <c r="Z83" s="123"/>
      <c r="AA83" s="123"/>
      <c r="AB83" s="118"/>
      <c r="AC83" s="118"/>
      <c r="AD83" s="118"/>
      <c r="AE83" s="118"/>
      <c r="AF83" s="118"/>
      <c r="AG83" s="118"/>
      <c r="AH83" s="118"/>
      <c r="AI83" s="93"/>
      <c r="AJ83" s="118"/>
      <c r="AK83" s="118"/>
      <c r="AL83" s="118"/>
      <c r="AM83" s="118"/>
      <c r="AN83" s="118"/>
      <c r="AO83" s="118"/>
      <c r="AP83" s="118"/>
      <c r="AQ83" s="93"/>
      <c r="AR83" s="118"/>
      <c r="AS83" s="118"/>
      <c r="AT83" s="118"/>
      <c r="AU83" s="118"/>
      <c r="AV83" s="118"/>
      <c r="AW83" s="123"/>
      <c r="AX83" s="123"/>
      <c r="AY83" s="123"/>
      <c r="AZ83" s="123"/>
      <c r="BA83" s="123"/>
      <c r="BB83" s="123"/>
      <c r="BC83" s="123"/>
      <c r="BD83" s="123"/>
      <c r="BE83" s="123"/>
      <c r="BF83" s="123"/>
      <c r="BG83" s="123"/>
      <c r="BH83" s="123"/>
      <c r="BI83" s="123"/>
      <c r="BJ83" s="123"/>
      <c r="BK83" s="123"/>
      <c r="BL83" s="123"/>
      <c r="BM83" s="123"/>
      <c r="BN83" s="123"/>
      <c r="BO83" s="123"/>
      <c r="BP83" s="123"/>
      <c r="BQ83" s="123"/>
      <c r="BR83" s="123"/>
      <c r="BS83" s="123"/>
      <c r="BT83" s="123"/>
      <c r="BU83" s="123"/>
      <c r="BV83" s="123"/>
      <c r="BW83" s="123"/>
      <c r="BX83" s="123"/>
      <c r="BY83" s="123"/>
      <c r="BZ83" s="123"/>
    </row>
    <row r="84" spans="1:78" s="150" customFormat="1" ht="16.8" thickBot="1" x14ac:dyDescent="0.35">
      <c r="A84" s="18" t="s">
        <v>6</v>
      </c>
      <c r="B84" s="10">
        <v>10.5566</v>
      </c>
      <c r="C84" s="29">
        <v>-0.97419999999999995</v>
      </c>
      <c r="D84" s="10">
        <v>6.5587999999999997</v>
      </c>
      <c r="E84" s="29">
        <v>-0.2316</v>
      </c>
      <c r="F84" s="10">
        <v>3.3782999999999999</v>
      </c>
      <c r="G84" s="29">
        <v>0.65390000000000004</v>
      </c>
      <c r="H84" s="10">
        <v>5.9717000000000002</v>
      </c>
      <c r="I84" s="29">
        <v>-0.1004</v>
      </c>
      <c r="J84" s="81"/>
      <c r="K84" s="82"/>
      <c r="L84" s="83"/>
      <c r="M84" s="81"/>
      <c r="N84" s="148"/>
      <c r="O84" s="148"/>
      <c r="P84" s="81"/>
      <c r="Q84" s="82"/>
      <c r="R84" s="83"/>
      <c r="S84" s="81"/>
      <c r="T84" s="148"/>
      <c r="U84" s="148"/>
      <c r="V84" s="81"/>
      <c r="W84" s="82"/>
      <c r="X84" s="83"/>
      <c r="Y84" s="149"/>
      <c r="Z84" s="148"/>
      <c r="AA84" s="148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48"/>
    </row>
    <row r="85" spans="1:78" s="141" customFormat="1" x14ac:dyDescent="0.3">
      <c r="A85" s="216" t="s">
        <v>34</v>
      </c>
      <c r="B85" s="67" t="s">
        <v>0</v>
      </c>
      <c r="C85" s="68"/>
      <c r="D85" s="67" t="s">
        <v>17</v>
      </c>
      <c r="E85" s="68"/>
      <c r="F85" s="67" t="s">
        <v>18</v>
      </c>
      <c r="G85" s="68"/>
      <c r="H85" s="67" t="s">
        <v>19</v>
      </c>
      <c r="I85" s="68"/>
      <c r="J85" s="72"/>
      <c r="K85" s="73"/>
      <c r="L85" s="74"/>
      <c r="M85" s="72"/>
      <c r="N85" s="138"/>
      <c r="O85" s="138"/>
      <c r="P85" s="72"/>
      <c r="Q85" s="73"/>
      <c r="R85" s="74"/>
      <c r="S85" s="72"/>
      <c r="T85" s="138"/>
      <c r="U85" s="138"/>
      <c r="V85" s="72"/>
      <c r="W85" s="73"/>
      <c r="X85" s="74"/>
      <c r="Y85" s="139"/>
      <c r="Z85" s="138"/>
      <c r="AA85" s="138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38"/>
      <c r="AX85" s="138"/>
      <c r="AY85" s="138"/>
      <c r="AZ85" s="138"/>
      <c r="BA85" s="138"/>
      <c r="BB85" s="138"/>
      <c r="BC85" s="138"/>
      <c r="BD85" s="138"/>
      <c r="BE85" s="138"/>
      <c r="BF85" s="138"/>
      <c r="BG85" s="138"/>
      <c r="BH85" s="138"/>
      <c r="BI85" s="138"/>
      <c r="BJ85" s="138"/>
      <c r="BK85" s="138"/>
      <c r="BL85" s="138"/>
      <c r="BM85" s="138"/>
      <c r="BN85" s="138"/>
      <c r="BO85" s="138"/>
      <c r="BP85" s="138"/>
      <c r="BQ85" s="138"/>
      <c r="BR85" s="138"/>
      <c r="BS85" s="138"/>
      <c r="BT85" s="138"/>
      <c r="BU85" s="138"/>
      <c r="BV85" s="138"/>
      <c r="BW85" s="138"/>
      <c r="BX85" s="138"/>
      <c r="BY85" s="138"/>
      <c r="BZ85" s="138"/>
    </row>
    <row r="86" spans="1:78" s="144" customFormat="1" ht="16.8" thickBot="1" x14ac:dyDescent="0.35">
      <c r="A86" s="217"/>
      <c r="B86" s="69" t="s">
        <v>25</v>
      </c>
      <c r="C86" s="70" t="s">
        <v>26</v>
      </c>
      <c r="D86" s="69" t="s">
        <v>25</v>
      </c>
      <c r="E86" s="70" t="s">
        <v>26</v>
      </c>
      <c r="F86" s="69" t="s">
        <v>25</v>
      </c>
      <c r="G86" s="70" t="s">
        <v>26</v>
      </c>
      <c r="H86" s="69" t="s">
        <v>25</v>
      </c>
      <c r="I86" s="70" t="s">
        <v>26</v>
      </c>
      <c r="J86" s="75"/>
      <c r="K86" s="76"/>
      <c r="L86" s="77"/>
      <c r="M86" s="75"/>
      <c r="N86" s="142"/>
      <c r="O86" s="142"/>
      <c r="P86" s="75"/>
      <c r="Q86" s="76"/>
      <c r="R86" s="77"/>
      <c r="S86" s="75"/>
      <c r="T86" s="142"/>
      <c r="U86" s="142"/>
      <c r="V86" s="75"/>
      <c r="W86" s="76"/>
      <c r="X86" s="77"/>
      <c r="Y86" s="143"/>
      <c r="Z86" s="142"/>
      <c r="AA86" s="142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142"/>
      <c r="BI86" s="142"/>
      <c r="BJ86" s="142"/>
      <c r="BK86" s="142"/>
      <c r="BL86" s="142"/>
      <c r="BM86" s="142"/>
      <c r="BN86" s="142"/>
      <c r="BO86" s="142"/>
      <c r="BP86" s="142"/>
      <c r="BQ86" s="142"/>
      <c r="BR86" s="142"/>
      <c r="BS86" s="142"/>
      <c r="BT86" s="142"/>
      <c r="BU86" s="142"/>
      <c r="BV86" s="142"/>
      <c r="BW86" s="142"/>
      <c r="BX86" s="142"/>
      <c r="BY86" s="142"/>
      <c r="BZ86" s="142"/>
    </row>
    <row r="87" spans="1:78" s="147" customFormat="1" x14ac:dyDescent="0.3">
      <c r="A87" s="45" t="s">
        <v>10</v>
      </c>
      <c r="B87" s="46">
        <v>1.4865999999999999</v>
      </c>
      <c r="C87" s="39">
        <v>-1.1960999999999999</v>
      </c>
      <c r="D87" s="46">
        <v>0.81579999999999997</v>
      </c>
      <c r="E87" s="39">
        <v>-0.23</v>
      </c>
      <c r="F87" s="46">
        <v>0.4123</v>
      </c>
      <c r="G87" s="39">
        <v>0.68459999999999999</v>
      </c>
      <c r="H87" s="46">
        <v>0.74829999999999997</v>
      </c>
      <c r="I87" s="39">
        <v>-0.1038</v>
      </c>
      <c r="J87" s="45"/>
      <c r="K87" s="46"/>
      <c r="L87" s="47"/>
      <c r="M87" s="45"/>
      <c r="N87" s="145"/>
      <c r="O87" s="145"/>
      <c r="P87" s="45"/>
      <c r="Q87" s="46"/>
      <c r="R87" s="47"/>
      <c r="S87" s="45"/>
      <c r="T87" s="145"/>
      <c r="U87" s="145"/>
      <c r="V87" s="45"/>
      <c r="W87" s="46"/>
      <c r="X87" s="47"/>
      <c r="Y87" s="146"/>
      <c r="Z87" s="145"/>
      <c r="AA87" s="145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145"/>
      <c r="AX87" s="145"/>
      <c r="AY87" s="145"/>
      <c r="AZ87" s="145"/>
      <c r="BA87" s="145"/>
      <c r="BB87" s="145"/>
      <c r="BC87" s="145"/>
      <c r="BD87" s="145"/>
      <c r="BE87" s="145"/>
      <c r="BF87" s="145"/>
      <c r="BG87" s="145"/>
      <c r="BH87" s="145"/>
      <c r="BI87" s="145"/>
      <c r="BJ87" s="145"/>
      <c r="BK87" s="145"/>
      <c r="BL87" s="145"/>
      <c r="BM87" s="145"/>
      <c r="BN87" s="145"/>
      <c r="BO87" s="145"/>
      <c r="BP87" s="145"/>
      <c r="BQ87" s="145"/>
      <c r="BR87" s="145"/>
      <c r="BS87" s="145"/>
      <c r="BT87" s="145"/>
      <c r="BU87" s="145"/>
      <c r="BV87" s="145"/>
      <c r="BW87" s="145"/>
      <c r="BX87" s="145"/>
      <c r="BY87" s="145"/>
      <c r="BZ87" s="145"/>
    </row>
    <row r="88" spans="1:78" x14ac:dyDescent="0.3">
      <c r="A88" s="9" t="s">
        <v>1</v>
      </c>
      <c r="B88" s="6">
        <v>3.0308000000000002</v>
      </c>
      <c r="C88" s="28">
        <v>-1.2444999999999999</v>
      </c>
      <c r="D88" s="6">
        <v>1.5798000000000001</v>
      </c>
      <c r="E88" s="28">
        <v>-0.18140000000000001</v>
      </c>
      <c r="F88" s="6">
        <v>0.77900000000000003</v>
      </c>
      <c r="G88" s="28">
        <v>0.75460000000000005</v>
      </c>
      <c r="H88" s="6">
        <v>1.4433</v>
      </c>
      <c r="I88" s="28">
        <v>-5.2699999999999997E-2</v>
      </c>
      <c r="J88" s="78"/>
      <c r="K88" s="79"/>
      <c r="L88" s="80"/>
      <c r="M88" s="78"/>
      <c r="N88" s="123"/>
      <c r="O88" s="123"/>
      <c r="P88" s="78"/>
      <c r="Q88" s="79"/>
      <c r="R88" s="80"/>
      <c r="S88" s="78"/>
      <c r="T88" s="123"/>
      <c r="U88" s="123"/>
      <c r="V88" s="78"/>
      <c r="W88" s="79"/>
      <c r="X88" s="80"/>
      <c r="Y88" s="122"/>
      <c r="Z88" s="123"/>
      <c r="AA88" s="12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  <c r="AV88" s="93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/>
      <c r="BQ88" s="123"/>
      <c r="BR88" s="123"/>
      <c r="BS88" s="123"/>
      <c r="BT88" s="123"/>
      <c r="BU88" s="123"/>
      <c r="BV88" s="123"/>
      <c r="BW88" s="123"/>
      <c r="BX88" s="123"/>
      <c r="BY88" s="123"/>
      <c r="BZ88" s="123"/>
    </row>
    <row r="89" spans="1:78" x14ac:dyDescent="0.3">
      <c r="A89" s="9" t="s">
        <v>7</v>
      </c>
      <c r="B89" s="6">
        <v>4.5831999999999997</v>
      </c>
      <c r="C89" s="28">
        <v>-1.2656000000000001</v>
      </c>
      <c r="D89" s="6">
        <v>2.3473000000000002</v>
      </c>
      <c r="E89" s="28">
        <v>-0.16739999999999999</v>
      </c>
      <c r="F89" s="6">
        <v>1.1627000000000001</v>
      </c>
      <c r="G89" s="28">
        <v>0.75649999999999995</v>
      </c>
      <c r="H89" s="6">
        <v>2.1728999999999998</v>
      </c>
      <c r="I89" s="28">
        <v>-5.8700000000000002E-2</v>
      </c>
      <c r="J89" s="78"/>
      <c r="K89" s="79"/>
      <c r="L89" s="80"/>
      <c r="M89" s="78"/>
      <c r="N89" s="123"/>
      <c r="O89" s="123"/>
      <c r="P89" s="78"/>
      <c r="Q89" s="79"/>
      <c r="R89" s="80"/>
      <c r="S89" s="78"/>
      <c r="T89" s="123"/>
      <c r="U89" s="123"/>
      <c r="V89" s="78"/>
      <c r="W89" s="79"/>
      <c r="X89" s="80"/>
      <c r="Y89" s="122"/>
      <c r="Z89" s="123"/>
      <c r="AA89" s="12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123"/>
      <c r="AX89" s="123"/>
      <c r="AY89" s="123"/>
      <c r="AZ89" s="123"/>
      <c r="BA89" s="123"/>
      <c r="BB89" s="123"/>
      <c r="BC89" s="123"/>
      <c r="BD89" s="123"/>
      <c r="BE89" s="123"/>
      <c r="BF89" s="123"/>
      <c r="BG89" s="123"/>
      <c r="BH89" s="123"/>
      <c r="BI89" s="123"/>
      <c r="BJ89" s="123"/>
      <c r="BK89" s="123"/>
      <c r="BL89" s="123"/>
      <c r="BM89" s="123"/>
      <c r="BN89" s="123"/>
      <c r="BO89" s="123"/>
      <c r="BP89" s="123"/>
      <c r="BQ89" s="123"/>
      <c r="BR89" s="123"/>
      <c r="BS89" s="123"/>
      <c r="BT89" s="123"/>
      <c r="BU89" s="123"/>
      <c r="BV89" s="123"/>
      <c r="BW89" s="123"/>
      <c r="BX89" s="123"/>
      <c r="BY89" s="123"/>
      <c r="BZ89" s="123"/>
    </row>
    <row r="90" spans="1:78" x14ac:dyDescent="0.3">
      <c r="A90" s="9" t="s">
        <v>2</v>
      </c>
      <c r="B90" s="6">
        <v>6.0586000000000002</v>
      </c>
      <c r="C90" s="28">
        <v>-1.2481</v>
      </c>
      <c r="D90" s="6">
        <v>3.2418</v>
      </c>
      <c r="E90" s="28">
        <v>-0.217</v>
      </c>
      <c r="F90" s="6">
        <v>1.5730999999999999</v>
      </c>
      <c r="G90" s="28">
        <v>0.7379</v>
      </c>
      <c r="H90" s="6">
        <v>2.9342999999999999</v>
      </c>
      <c r="I90" s="28">
        <v>-7.6200000000000004E-2</v>
      </c>
      <c r="J90" s="78"/>
      <c r="K90" s="79"/>
      <c r="L90" s="80"/>
      <c r="M90" s="78"/>
      <c r="N90" s="123"/>
      <c r="O90" s="123"/>
      <c r="P90" s="78"/>
      <c r="Q90" s="79"/>
      <c r="R90" s="80"/>
      <c r="S90" s="78"/>
      <c r="T90" s="123"/>
      <c r="U90" s="123"/>
      <c r="V90" s="78"/>
      <c r="W90" s="79"/>
      <c r="X90" s="80"/>
      <c r="Y90" s="122"/>
      <c r="Z90" s="123"/>
      <c r="AA90" s="12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123"/>
      <c r="AX90" s="123"/>
      <c r="AY90" s="123"/>
      <c r="AZ90" s="123"/>
      <c r="BA90" s="123"/>
      <c r="BB90" s="123"/>
      <c r="BC90" s="123"/>
      <c r="BD90" s="123"/>
      <c r="BE90" s="123"/>
      <c r="BF90" s="123"/>
      <c r="BG90" s="123"/>
      <c r="BH90" s="123"/>
      <c r="BI90" s="123"/>
      <c r="BJ90" s="123"/>
      <c r="BK90" s="123"/>
      <c r="BL90" s="123"/>
      <c r="BM90" s="123"/>
      <c r="BN90" s="123"/>
      <c r="BO90" s="123"/>
      <c r="BP90" s="123"/>
      <c r="BQ90" s="123"/>
      <c r="BR90" s="123"/>
      <c r="BS90" s="123"/>
      <c r="BT90" s="123"/>
      <c r="BU90" s="123"/>
      <c r="BV90" s="123"/>
      <c r="BW90" s="123"/>
      <c r="BX90" s="123"/>
      <c r="BY90" s="123"/>
      <c r="BZ90" s="123"/>
    </row>
    <row r="91" spans="1:78" x14ac:dyDescent="0.3">
      <c r="A91" s="9" t="s">
        <v>3</v>
      </c>
      <c r="B91" s="6">
        <v>7.5460000000000003</v>
      </c>
      <c r="C91" s="28">
        <v>-1.2419</v>
      </c>
      <c r="D91" s="6">
        <v>4.0919999999999996</v>
      </c>
      <c r="E91" s="28">
        <v>-0.2316</v>
      </c>
      <c r="F91" s="6">
        <v>1.9871000000000001</v>
      </c>
      <c r="G91" s="28">
        <v>0.72460000000000002</v>
      </c>
      <c r="H91" s="6">
        <v>3.6728999999999998</v>
      </c>
      <c r="I91" s="28">
        <v>-7.7700000000000005E-2</v>
      </c>
      <c r="J91" s="78"/>
      <c r="K91" s="79"/>
      <c r="L91" s="80"/>
      <c r="M91" s="78"/>
      <c r="N91" s="123"/>
      <c r="O91" s="123"/>
      <c r="P91" s="78"/>
      <c r="Q91" s="79"/>
      <c r="R91" s="80"/>
      <c r="S91" s="78"/>
      <c r="T91" s="123"/>
      <c r="U91" s="123"/>
      <c r="V91" s="78"/>
      <c r="W91" s="79"/>
      <c r="X91" s="80"/>
      <c r="Y91" s="122"/>
      <c r="Z91" s="123"/>
      <c r="AA91" s="12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123"/>
      <c r="AX91" s="123"/>
      <c r="AY91" s="123"/>
      <c r="AZ91" s="123"/>
      <c r="BA91" s="123"/>
      <c r="BB91" s="123"/>
      <c r="BC91" s="123"/>
      <c r="BD91" s="123"/>
      <c r="BE91" s="123"/>
      <c r="BF91" s="123"/>
      <c r="BG91" s="123"/>
      <c r="BH91" s="123"/>
      <c r="BI91" s="123"/>
      <c r="BJ91" s="123"/>
      <c r="BK91" s="123"/>
      <c r="BL91" s="123"/>
      <c r="BM91" s="123"/>
      <c r="BN91" s="123"/>
      <c r="BO91" s="123"/>
      <c r="BP91" s="123"/>
      <c r="BQ91" s="123"/>
      <c r="BR91" s="123"/>
      <c r="BS91" s="123"/>
      <c r="BT91" s="123"/>
      <c r="BU91" s="123"/>
      <c r="BV91" s="123"/>
      <c r="BW91" s="123"/>
      <c r="BX91" s="123"/>
      <c r="BY91" s="123"/>
      <c r="BZ91" s="123"/>
    </row>
    <row r="92" spans="1:78" x14ac:dyDescent="0.3">
      <c r="A92" s="9" t="s">
        <v>4</v>
      </c>
      <c r="B92" s="6">
        <v>9.1995000000000005</v>
      </c>
      <c r="C92" s="28">
        <v>-1.2723</v>
      </c>
      <c r="D92" s="6">
        <v>4.9500999999999999</v>
      </c>
      <c r="E92" s="28">
        <v>-0.2419</v>
      </c>
      <c r="F92" s="6">
        <v>2.3559999999999999</v>
      </c>
      <c r="G92" s="28">
        <v>0.73929999999999996</v>
      </c>
      <c r="H92" s="6">
        <v>4.4161999999999999</v>
      </c>
      <c r="I92" s="28">
        <v>-8.0799999999999997E-2</v>
      </c>
      <c r="J92" s="78"/>
      <c r="K92" s="79"/>
      <c r="L92" s="80"/>
      <c r="M92" s="78"/>
      <c r="N92" s="123"/>
      <c r="O92" s="123"/>
      <c r="P92" s="78"/>
      <c r="Q92" s="79"/>
      <c r="R92" s="80"/>
      <c r="S92" s="78"/>
      <c r="T92" s="123"/>
      <c r="U92" s="123"/>
      <c r="V92" s="78"/>
      <c r="W92" s="79"/>
      <c r="X92" s="80"/>
      <c r="Y92" s="122"/>
      <c r="Z92" s="123"/>
      <c r="AA92" s="12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23"/>
      <c r="BQ92" s="123"/>
      <c r="BR92" s="123"/>
      <c r="BS92" s="123"/>
      <c r="BT92" s="123"/>
      <c r="BU92" s="123"/>
      <c r="BV92" s="123"/>
      <c r="BW92" s="123"/>
      <c r="BX92" s="123"/>
      <c r="BY92" s="123"/>
      <c r="BZ92" s="123"/>
    </row>
    <row r="93" spans="1:78" x14ac:dyDescent="0.3">
      <c r="A93" s="9" t="s">
        <v>5</v>
      </c>
      <c r="B93" s="6">
        <v>10.735799999999999</v>
      </c>
      <c r="C93" s="28">
        <v>-1.2726999999999999</v>
      </c>
      <c r="D93" s="6">
        <v>5.7782999999999998</v>
      </c>
      <c r="E93" s="28">
        <v>-0.24249999999999999</v>
      </c>
      <c r="F93" s="6">
        <v>2.7545000000000002</v>
      </c>
      <c r="G93" s="28">
        <v>0.73899999999999999</v>
      </c>
      <c r="H93" s="6">
        <v>5.1550000000000002</v>
      </c>
      <c r="I93" s="28">
        <v>-8.1299999999999997E-2</v>
      </c>
      <c r="J93" s="78"/>
      <c r="K93" s="79"/>
      <c r="L93" s="80"/>
      <c r="M93" s="78"/>
      <c r="N93" s="123"/>
      <c r="O93" s="123"/>
      <c r="P93" s="78"/>
      <c r="Q93" s="79"/>
      <c r="R93" s="80"/>
      <c r="S93" s="78"/>
      <c r="T93" s="123"/>
      <c r="U93" s="123"/>
      <c r="V93" s="78"/>
      <c r="W93" s="79"/>
      <c r="X93" s="80"/>
      <c r="Y93" s="122"/>
      <c r="Z93" s="123"/>
      <c r="AA93" s="12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/>
      <c r="BQ93" s="123"/>
      <c r="BR93" s="123"/>
      <c r="BS93" s="123"/>
      <c r="BT93" s="123"/>
      <c r="BU93" s="123"/>
      <c r="BV93" s="123"/>
      <c r="BW93" s="123"/>
      <c r="BX93" s="123"/>
      <c r="BY93" s="123"/>
      <c r="BZ93" s="123"/>
    </row>
    <row r="94" spans="1:78" s="150" customFormat="1" ht="16.8" thickBot="1" x14ac:dyDescent="0.35">
      <c r="A94" s="34" t="s">
        <v>6</v>
      </c>
      <c r="B94" s="14">
        <v>12.035600000000001</v>
      </c>
      <c r="C94" s="35">
        <v>-1.2218</v>
      </c>
      <c r="D94" s="14">
        <v>6.5723000000000003</v>
      </c>
      <c r="E94" s="35">
        <v>-0.23599999999999999</v>
      </c>
      <c r="F94" s="14">
        <v>3.1604000000000001</v>
      </c>
      <c r="G94" s="35">
        <v>0.73580000000000001</v>
      </c>
      <c r="H94" s="14">
        <v>5.8703000000000003</v>
      </c>
      <c r="I94" s="35">
        <v>-7.5899999999999995E-2</v>
      </c>
      <c r="J94" s="90"/>
      <c r="K94" s="91"/>
      <c r="L94" s="92"/>
      <c r="M94" s="90"/>
      <c r="N94" s="148"/>
      <c r="O94" s="148"/>
      <c r="P94" s="90"/>
      <c r="Q94" s="91"/>
      <c r="R94" s="92"/>
      <c r="S94" s="90"/>
      <c r="T94" s="148"/>
      <c r="U94" s="148"/>
      <c r="V94" s="90"/>
      <c r="W94" s="91"/>
      <c r="X94" s="92"/>
      <c r="Y94" s="149"/>
      <c r="Z94" s="148"/>
      <c r="AA94" s="148"/>
      <c r="AB94" s="119"/>
      <c r="AC94" s="119"/>
      <c r="AD94" s="119"/>
      <c r="AE94" s="119"/>
      <c r="AF94" s="119"/>
      <c r="AG94" s="119"/>
      <c r="AH94" s="119"/>
      <c r="AI94" s="115"/>
      <c r="AJ94" s="119"/>
      <c r="AK94" s="119"/>
      <c r="AL94" s="119"/>
      <c r="AM94" s="119"/>
      <c r="AN94" s="119"/>
      <c r="AO94" s="119"/>
      <c r="AP94" s="119"/>
      <c r="AQ94" s="115"/>
      <c r="AR94" s="119"/>
      <c r="AS94" s="119"/>
      <c r="AT94" s="119"/>
      <c r="AU94" s="119"/>
      <c r="AV94" s="119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  <c r="BI94" s="148"/>
      <c r="BJ94" s="148"/>
      <c r="BK94" s="148"/>
      <c r="BL94" s="148"/>
      <c r="BM94" s="148"/>
      <c r="BN94" s="148"/>
      <c r="BO94" s="148"/>
      <c r="BP94" s="148"/>
      <c r="BQ94" s="148"/>
      <c r="BR94" s="148"/>
      <c r="BS94" s="148"/>
      <c r="BT94" s="148"/>
      <c r="BU94" s="148"/>
      <c r="BV94" s="148"/>
      <c r="BW94" s="148"/>
      <c r="BX94" s="148"/>
      <c r="BY94" s="148"/>
      <c r="BZ94" s="148"/>
    </row>
    <row r="95" spans="1:78" s="153" customFormat="1" ht="16.8" thickBot="1" x14ac:dyDescent="0.35">
      <c r="A95" s="16"/>
      <c r="B95" s="17"/>
      <c r="C95" s="30"/>
      <c r="D95" s="17"/>
      <c r="E95" s="30"/>
      <c r="F95" s="17"/>
      <c r="G95" s="30"/>
      <c r="H95" s="17"/>
      <c r="I95" s="30"/>
      <c r="J95" s="84"/>
      <c r="K95" s="85"/>
      <c r="L95" s="86"/>
      <c r="M95" s="84"/>
      <c r="N95" s="151"/>
      <c r="O95" s="151"/>
      <c r="P95" s="84"/>
      <c r="Q95" s="85"/>
      <c r="R95" s="86"/>
      <c r="S95" s="84"/>
      <c r="T95" s="151"/>
      <c r="U95" s="151"/>
      <c r="V95" s="84"/>
      <c r="W95" s="85"/>
      <c r="X95" s="86"/>
      <c r="Y95" s="152"/>
      <c r="Z95" s="151"/>
      <c r="AA95" s="151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116"/>
      <c r="AV95" s="116"/>
      <c r="AW95" s="151"/>
      <c r="AX95" s="151"/>
      <c r="AY95" s="151"/>
      <c r="AZ95" s="151"/>
      <c r="BA95" s="151"/>
      <c r="BB95" s="151"/>
      <c r="BC95" s="151"/>
      <c r="BD95" s="151"/>
      <c r="BE95" s="151"/>
      <c r="BF95" s="151"/>
      <c r="BG95" s="151"/>
      <c r="BH95" s="151"/>
      <c r="BI95" s="151"/>
      <c r="BJ95" s="151"/>
      <c r="BK95" s="151"/>
      <c r="BL95" s="151"/>
      <c r="BM95" s="151"/>
      <c r="BN95" s="151"/>
      <c r="BO95" s="151"/>
      <c r="BP95" s="151"/>
      <c r="BQ95" s="151"/>
      <c r="BR95" s="151"/>
      <c r="BS95" s="151"/>
      <c r="BT95" s="151"/>
      <c r="BU95" s="151"/>
      <c r="BV95" s="151"/>
      <c r="BW95" s="151"/>
      <c r="BX95" s="151"/>
      <c r="BY95" s="151"/>
      <c r="BZ95" s="151"/>
    </row>
    <row r="96" spans="1:78" s="147" customFormat="1" x14ac:dyDescent="0.3">
      <c r="A96" s="154"/>
      <c r="B96" s="15"/>
      <c r="C96" s="36"/>
      <c r="D96" s="154"/>
      <c r="F96" s="15"/>
      <c r="G96" s="36"/>
      <c r="H96" s="15"/>
      <c r="I96" s="36"/>
      <c r="J96" s="155"/>
      <c r="K96" s="145"/>
      <c r="L96" s="156"/>
      <c r="M96" s="155"/>
      <c r="N96" s="145"/>
      <c r="O96" s="145"/>
      <c r="P96" s="155"/>
      <c r="Q96" s="145"/>
      <c r="R96" s="156"/>
      <c r="S96" s="155"/>
      <c r="T96" s="145"/>
      <c r="U96" s="145"/>
      <c r="V96" s="155"/>
      <c r="W96" s="145"/>
      <c r="X96" s="156"/>
      <c r="Y96" s="146"/>
      <c r="Z96" s="145"/>
      <c r="AA96" s="145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145"/>
      <c r="AX96" s="145"/>
      <c r="AY96" s="145"/>
      <c r="AZ96" s="145"/>
      <c r="BA96" s="145"/>
      <c r="BB96" s="145"/>
      <c r="BC96" s="145"/>
      <c r="BD96" s="145"/>
      <c r="BE96" s="145"/>
      <c r="BF96" s="145"/>
      <c r="BG96" s="145"/>
      <c r="BH96" s="145"/>
      <c r="BI96" s="145"/>
      <c r="BJ96" s="145"/>
      <c r="BK96" s="145"/>
      <c r="BL96" s="145"/>
      <c r="BM96" s="145"/>
      <c r="BN96" s="145"/>
      <c r="BO96" s="145"/>
      <c r="BP96" s="145"/>
      <c r="BQ96" s="145"/>
      <c r="BR96" s="145"/>
      <c r="BS96" s="145"/>
      <c r="BT96" s="145"/>
      <c r="BU96" s="145"/>
      <c r="BV96" s="145"/>
      <c r="BW96" s="145"/>
      <c r="BX96" s="145"/>
      <c r="BY96" s="145"/>
      <c r="BZ96" s="145"/>
    </row>
    <row r="97" spans="10:78" x14ac:dyDescent="0.3">
      <c r="J97" s="159"/>
      <c r="K97" s="123"/>
      <c r="L97" s="160"/>
      <c r="M97" s="159"/>
      <c r="N97" s="93"/>
      <c r="O97" s="94"/>
      <c r="P97" s="159"/>
      <c r="Q97" s="123"/>
      <c r="R97" s="160"/>
      <c r="S97" s="159"/>
      <c r="T97" s="93"/>
      <c r="U97" s="94"/>
      <c r="V97" s="159"/>
      <c r="W97" s="123"/>
      <c r="X97" s="160"/>
      <c r="Y97" s="122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123"/>
      <c r="BM97" s="123"/>
      <c r="BN97" s="123"/>
      <c r="BO97" s="123"/>
      <c r="BP97" s="123"/>
      <c r="BQ97" s="123"/>
      <c r="BR97" s="123"/>
      <c r="BS97" s="123"/>
      <c r="BT97" s="123"/>
      <c r="BU97" s="123"/>
      <c r="BV97" s="123"/>
      <c r="BW97" s="123"/>
      <c r="BX97" s="123"/>
      <c r="BY97" s="123"/>
      <c r="BZ97" s="123"/>
    </row>
    <row r="98" spans="10:78" x14ac:dyDescent="0.3">
      <c r="J98" s="159"/>
      <c r="K98" s="123"/>
      <c r="L98" s="160"/>
      <c r="M98" s="159"/>
      <c r="N98" s="93"/>
      <c r="O98" s="94"/>
      <c r="P98" s="159"/>
      <c r="Q98" s="123"/>
      <c r="R98" s="160"/>
      <c r="S98" s="159"/>
      <c r="T98" s="93"/>
      <c r="U98" s="94"/>
      <c r="V98" s="159"/>
      <c r="W98" s="123"/>
      <c r="X98" s="160"/>
      <c r="Y98" s="122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123"/>
      <c r="AN98" s="123"/>
      <c r="AO98" s="123"/>
      <c r="AP98" s="123"/>
      <c r="AQ98" s="123"/>
      <c r="AR98" s="123"/>
      <c r="AS98" s="123"/>
      <c r="AT98" s="123"/>
      <c r="AU98" s="123"/>
      <c r="AV98" s="123"/>
      <c r="AW98" s="123"/>
      <c r="AX98" s="123"/>
      <c r="AY98" s="123"/>
      <c r="AZ98" s="123"/>
      <c r="BA98" s="123"/>
      <c r="BB98" s="123"/>
      <c r="BC98" s="123"/>
      <c r="BD98" s="123"/>
      <c r="BE98" s="123"/>
      <c r="BF98" s="123"/>
      <c r="BG98" s="123"/>
      <c r="BH98" s="123"/>
      <c r="BI98" s="123"/>
      <c r="BJ98" s="123"/>
      <c r="BK98" s="123"/>
      <c r="BL98" s="123"/>
      <c r="BM98" s="123"/>
      <c r="BN98" s="123"/>
      <c r="BO98" s="123"/>
      <c r="BP98" s="123"/>
      <c r="BQ98" s="123"/>
      <c r="BR98" s="123"/>
      <c r="BS98" s="123"/>
      <c r="BT98" s="123"/>
      <c r="BU98" s="123"/>
      <c r="BV98" s="123"/>
      <c r="BW98" s="123"/>
      <c r="BX98" s="123"/>
      <c r="BY98" s="123"/>
      <c r="BZ98" s="123"/>
    </row>
    <row r="99" spans="10:78" x14ac:dyDescent="0.3">
      <c r="J99" s="159"/>
      <c r="K99" s="123"/>
      <c r="L99" s="160"/>
      <c r="M99" s="159"/>
      <c r="N99" s="93"/>
      <c r="O99" s="94"/>
      <c r="P99" s="159"/>
      <c r="Q99" s="123"/>
      <c r="R99" s="160"/>
      <c r="S99" s="159"/>
      <c r="T99" s="93"/>
      <c r="U99" s="94"/>
      <c r="V99" s="159"/>
      <c r="W99" s="123"/>
      <c r="X99" s="160"/>
      <c r="Y99" s="122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  <c r="BD99" s="123"/>
      <c r="BE99" s="123"/>
      <c r="BF99" s="123"/>
      <c r="BG99" s="123"/>
      <c r="BH99" s="123"/>
      <c r="BI99" s="123"/>
      <c r="BJ99" s="123"/>
      <c r="BK99" s="123"/>
      <c r="BL99" s="123"/>
      <c r="BM99" s="123"/>
      <c r="BN99" s="123"/>
      <c r="BO99" s="123"/>
      <c r="BP99" s="123"/>
      <c r="BQ99" s="123"/>
      <c r="BR99" s="123"/>
      <c r="BS99" s="123"/>
      <c r="BT99" s="123"/>
      <c r="BU99" s="123"/>
      <c r="BV99" s="123"/>
      <c r="BW99" s="123"/>
      <c r="BX99" s="123"/>
      <c r="BY99" s="123"/>
      <c r="BZ99" s="123"/>
    </row>
    <row r="100" spans="10:78" x14ac:dyDescent="0.3">
      <c r="J100" s="159"/>
      <c r="K100" s="123"/>
      <c r="L100" s="160"/>
      <c r="M100" s="159"/>
      <c r="N100" s="93"/>
      <c r="O100" s="94"/>
      <c r="P100" s="159"/>
      <c r="Q100" s="123"/>
      <c r="R100" s="160"/>
      <c r="S100" s="159"/>
      <c r="T100" s="93"/>
      <c r="U100" s="94"/>
      <c r="V100" s="159"/>
      <c r="W100" s="123"/>
      <c r="X100" s="160"/>
      <c r="Y100" s="122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  <c r="BD100" s="123"/>
      <c r="BE100" s="123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23"/>
    </row>
    <row r="101" spans="10:78" x14ac:dyDescent="0.3">
      <c r="J101" s="159"/>
      <c r="K101" s="123"/>
      <c r="L101" s="160"/>
      <c r="M101" s="159"/>
      <c r="N101" s="93"/>
      <c r="O101" s="94"/>
      <c r="P101" s="159"/>
      <c r="Q101" s="123"/>
      <c r="R101" s="160"/>
      <c r="S101" s="159"/>
      <c r="T101" s="93"/>
      <c r="U101" s="94"/>
      <c r="V101" s="159"/>
      <c r="W101" s="123"/>
      <c r="X101" s="160"/>
      <c r="Y101" s="122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3"/>
      <c r="BI101" s="123"/>
      <c r="BJ101" s="123"/>
      <c r="BK101" s="123"/>
      <c r="BL101" s="123"/>
      <c r="BM101" s="123"/>
      <c r="BN101" s="123"/>
      <c r="BO101" s="123"/>
      <c r="BP101" s="123"/>
      <c r="BQ101" s="123"/>
      <c r="BR101" s="123"/>
      <c r="BS101" s="123"/>
      <c r="BT101" s="123"/>
      <c r="BU101" s="123"/>
      <c r="BV101" s="123"/>
      <c r="BW101" s="123"/>
      <c r="BX101" s="123"/>
      <c r="BY101" s="123"/>
      <c r="BZ101" s="123"/>
    </row>
    <row r="102" spans="10:78" x14ac:dyDescent="0.3">
      <c r="J102" s="159"/>
      <c r="K102" s="123"/>
      <c r="L102" s="160"/>
      <c r="M102" s="159"/>
      <c r="N102" s="93"/>
      <c r="O102" s="94"/>
      <c r="P102" s="159"/>
      <c r="Q102" s="123"/>
      <c r="R102" s="160"/>
      <c r="S102" s="159"/>
      <c r="T102" s="93"/>
      <c r="U102" s="94"/>
      <c r="V102" s="159"/>
      <c r="W102" s="123"/>
      <c r="X102" s="160"/>
      <c r="Y102" s="122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/>
      <c r="BJ102" s="123"/>
      <c r="BK102" s="123"/>
      <c r="BL102" s="123"/>
      <c r="BM102" s="123"/>
      <c r="BN102" s="123"/>
      <c r="BO102" s="123"/>
      <c r="BP102" s="123"/>
      <c r="BQ102" s="123"/>
      <c r="BR102" s="123"/>
      <c r="BS102" s="123"/>
      <c r="BT102" s="123"/>
      <c r="BU102" s="123"/>
      <c r="BV102" s="123"/>
      <c r="BW102" s="123"/>
      <c r="BX102" s="123"/>
      <c r="BY102" s="123"/>
      <c r="BZ102" s="123"/>
    </row>
    <row r="103" spans="10:78" x14ac:dyDescent="0.3">
      <c r="J103" s="159"/>
      <c r="K103" s="123"/>
      <c r="L103" s="160"/>
      <c r="M103" s="159"/>
      <c r="N103" s="93"/>
      <c r="O103" s="94"/>
      <c r="P103" s="159"/>
      <c r="Q103" s="123"/>
      <c r="R103" s="160"/>
      <c r="S103" s="159"/>
      <c r="T103" s="93"/>
      <c r="U103" s="94"/>
      <c r="V103" s="159"/>
      <c r="W103" s="123"/>
      <c r="X103" s="160"/>
      <c r="Y103" s="122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/>
      <c r="BJ103" s="123"/>
      <c r="BK103" s="123"/>
      <c r="BL103" s="123"/>
      <c r="BM103" s="123"/>
      <c r="BN103" s="123"/>
      <c r="BO103" s="123"/>
      <c r="BP103" s="123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</row>
    <row r="104" spans="10:78" x14ac:dyDescent="0.3">
      <c r="J104" s="159"/>
      <c r="K104" s="123"/>
      <c r="L104" s="160"/>
      <c r="M104" s="159"/>
      <c r="N104" s="93"/>
      <c r="O104" s="94"/>
      <c r="P104" s="159"/>
      <c r="Q104" s="123"/>
      <c r="R104" s="160"/>
      <c r="S104" s="159"/>
      <c r="T104" s="93"/>
      <c r="U104" s="94"/>
      <c r="V104" s="159"/>
      <c r="W104" s="123"/>
      <c r="X104" s="160"/>
      <c r="Y104" s="122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123"/>
      <c r="BM104" s="123"/>
      <c r="BN104" s="123"/>
      <c r="BO104" s="123"/>
      <c r="BP104" s="123"/>
      <c r="BQ104" s="123"/>
      <c r="BR104" s="123"/>
      <c r="BS104" s="123"/>
      <c r="BT104" s="123"/>
      <c r="BU104" s="123"/>
      <c r="BV104" s="123"/>
      <c r="BW104" s="123"/>
      <c r="BX104" s="123"/>
      <c r="BY104" s="123"/>
      <c r="BZ104" s="123"/>
    </row>
    <row r="105" spans="10:78" x14ac:dyDescent="0.3">
      <c r="J105" s="159"/>
      <c r="K105" s="123"/>
      <c r="L105" s="160"/>
      <c r="M105" s="159"/>
      <c r="N105" s="93"/>
      <c r="O105" s="94"/>
      <c r="P105" s="159"/>
      <c r="Q105" s="123"/>
      <c r="R105" s="160"/>
      <c r="S105" s="159"/>
      <c r="T105" s="93"/>
      <c r="U105" s="94"/>
      <c r="V105" s="159"/>
      <c r="W105" s="123"/>
      <c r="X105" s="160"/>
      <c r="Y105" s="122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3"/>
      <c r="AK105" s="123"/>
      <c r="AL105" s="123"/>
      <c r="AM105" s="123"/>
      <c r="AN105" s="123"/>
      <c r="AO105" s="123"/>
      <c r="AP105" s="123"/>
      <c r="AQ105" s="123"/>
      <c r="AR105" s="123"/>
      <c r="AS105" s="123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23"/>
      <c r="BD105" s="123"/>
      <c r="BE105" s="123"/>
      <c r="BF105" s="123"/>
      <c r="BG105" s="123"/>
      <c r="BH105" s="123"/>
      <c r="BI105" s="123"/>
      <c r="BJ105" s="123"/>
      <c r="BK105" s="123"/>
      <c r="BL105" s="123"/>
      <c r="BM105" s="123"/>
      <c r="BN105" s="123"/>
      <c r="BO105" s="123"/>
      <c r="BP105" s="123"/>
      <c r="BQ105" s="123"/>
      <c r="BR105" s="123"/>
      <c r="BS105" s="123"/>
      <c r="BT105" s="123"/>
      <c r="BU105" s="123"/>
      <c r="BV105" s="123"/>
      <c r="BW105" s="123"/>
      <c r="BX105" s="123"/>
      <c r="BY105" s="123"/>
      <c r="BZ105" s="123"/>
    </row>
    <row r="106" spans="10:78" x14ac:dyDescent="0.3">
      <c r="J106" s="159"/>
      <c r="K106" s="123"/>
      <c r="L106" s="160"/>
      <c r="M106" s="159"/>
      <c r="N106" s="93"/>
      <c r="O106" s="94"/>
      <c r="P106" s="159"/>
      <c r="Q106" s="123"/>
      <c r="R106" s="160"/>
      <c r="S106" s="159"/>
      <c r="T106" s="93"/>
      <c r="U106" s="94"/>
      <c r="V106" s="159"/>
      <c r="W106" s="123"/>
      <c r="X106" s="160"/>
      <c r="Y106" s="122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/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23"/>
    </row>
    <row r="107" spans="10:78" x14ac:dyDescent="0.3">
      <c r="J107" s="159"/>
      <c r="K107" s="123"/>
      <c r="L107" s="160"/>
      <c r="M107" s="159"/>
      <c r="N107" s="93"/>
      <c r="O107" s="94"/>
      <c r="P107" s="159"/>
      <c r="Q107" s="123"/>
      <c r="R107" s="160"/>
      <c r="S107" s="159"/>
      <c r="T107" s="93"/>
      <c r="U107" s="94"/>
      <c r="V107" s="159"/>
      <c r="W107" s="123"/>
      <c r="X107" s="160"/>
      <c r="Y107" s="122"/>
      <c r="Z107" s="123"/>
      <c r="AA107" s="123"/>
      <c r="AB107" s="123"/>
      <c r="AC107" s="123"/>
      <c r="AD107" s="123"/>
      <c r="AE107" s="123"/>
      <c r="AF107" s="123"/>
      <c r="AG107" s="123"/>
      <c r="AH107" s="123"/>
      <c r="AI107" s="123"/>
      <c r="AJ107" s="123"/>
      <c r="AK107" s="123"/>
      <c r="AL107" s="123"/>
      <c r="AM107" s="123"/>
      <c r="AN107" s="123"/>
      <c r="AO107" s="123"/>
      <c r="AP107" s="123"/>
      <c r="AQ107" s="123"/>
      <c r="AR107" s="123"/>
      <c r="AS107" s="123"/>
      <c r="AT107" s="123"/>
      <c r="AU107" s="123"/>
      <c r="AV107" s="123"/>
      <c r="AW107" s="123"/>
      <c r="AX107" s="123"/>
      <c r="AY107" s="123"/>
      <c r="AZ107" s="123"/>
      <c r="BA107" s="123"/>
      <c r="BB107" s="123"/>
      <c r="BC107" s="123"/>
      <c r="BD107" s="123"/>
      <c r="BE107" s="123"/>
      <c r="BF107" s="123"/>
      <c r="BG107" s="123"/>
      <c r="BH107" s="123"/>
      <c r="BI107" s="123"/>
      <c r="BJ107" s="123"/>
      <c r="BK107" s="123"/>
      <c r="BL107" s="123"/>
      <c r="BM107" s="123"/>
      <c r="BN107" s="123"/>
      <c r="BO107" s="123"/>
      <c r="BP107" s="123"/>
      <c r="BQ107" s="123"/>
      <c r="BR107" s="123"/>
      <c r="BS107" s="123"/>
      <c r="BT107" s="123"/>
      <c r="BU107" s="123"/>
      <c r="BV107" s="123"/>
      <c r="BW107" s="123"/>
      <c r="BX107" s="123"/>
      <c r="BY107" s="123"/>
      <c r="BZ107" s="123"/>
    </row>
    <row r="108" spans="10:78" x14ac:dyDescent="0.3">
      <c r="J108" s="159"/>
      <c r="K108" s="123"/>
      <c r="L108" s="160"/>
      <c r="M108" s="159"/>
      <c r="N108" s="93"/>
      <c r="O108" s="94"/>
      <c r="P108" s="159"/>
      <c r="Q108" s="123"/>
      <c r="R108" s="160"/>
      <c r="S108" s="159"/>
      <c r="T108" s="93"/>
      <c r="U108" s="94"/>
      <c r="V108" s="159"/>
      <c r="W108" s="123"/>
      <c r="X108" s="160"/>
      <c r="Y108" s="122"/>
      <c r="Z108" s="123"/>
      <c r="AA108" s="123"/>
      <c r="AB108" s="123"/>
      <c r="AC108" s="123"/>
      <c r="AD108" s="123"/>
      <c r="AE108" s="123"/>
      <c r="AF108" s="123"/>
      <c r="AG108" s="123"/>
      <c r="AH108" s="123"/>
      <c r="AI108" s="123"/>
      <c r="AJ108" s="123"/>
      <c r="AK108" s="123"/>
      <c r="AL108" s="123"/>
      <c r="AM108" s="123"/>
      <c r="AN108" s="123"/>
      <c r="AO108" s="123"/>
      <c r="AP108" s="123"/>
      <c r="AQ108" s="123"/>
      <c r="AR108" s="123"/>
      <c r="AS108" s="123"/>
      <c r="AT108" s="123"/>
      <c r="AU108" s="123"/>
      <c r="AV108" s="123"/>
      <c r="AW108" s="123"/>
      <c r="AX108" s="123"/>
      <c r="AY108" s="123"/>
      <c r="AZ108" s="123"/>
      <c r="BA108" s="123"/>
      <c r="BB108" s="123"/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123"/>
      <c r="BM108" s="123"/>
      <c r="BN108" s="123"/>
      <c r="BO108" s="123"/>
      <c r="BP108" s="123"/>
      <c r="BQ108" s="123"/>
      <c r="BR108" s="123"/>
      <c r="BS108" s="123"/>
      <c r="BT108" s="123"/>
      <c r="BU108" s="123"/>
      <c r="BV108" s="123"/>
      <c r="BW108" s="123"/>
      <c r="BX108" s="123"/>
      <c r="BY108" s="123"/>
      <c r="BZ108" s="123"/>
    </row>
    <row r="109" spans="10:78" x14ac:dyDescent="0.3">
      <c r="J109" s="159"/>
      <c r="K109" s="123"/>
      <c r="L109" s="160"/>
      <c r="M109" s="159"/>
      <c r="N109" s="93"/>
      <c r="O109" s="94"/>
      <c r="P109" s="159"/>
      <c r="Q109" s="123"/>
      <c r="R109" s="160"/>
      <c r="S109" s="159"/>
      <c r="T109" s="93"/>
      <c r="U109" s="94"/>
      <c r="V109" s="159"/>
      <c r="W109" s="123"/>
      <c r="X109" s="160"/>
      <c r="Y109" s="122"/>
      <c r="Z109" s="123"/>
      <c r="AA109" s="123"/>
      <c r="AB109" s="123"/>
      <c r="AC109" s="123"/>
      <c r="AD109" s="123"/>
      <c r="AE109" s="123"/>
      <c r="AF109" s="123"/>
      <c r="AG109" s="123"/>
      <c r="AH109" s="123"/>
      <c r="AI109" s="123"/>
      <c r="AJ109" s="123"/>
      <c r="AK109" s="123"/>
      <c r="AL109" s="123"/>
      <c r="AM109" s="123"/>
      <c r="AN109" s="123"/>
      <c r="AO109" s="123"/>
      <c r="AP109" s="123"/>
      <c r="AQ109" s="123"/>
      <c r="AR109" s="123"/>
      <c r="AS109" s="123"/>
      <c r="AT109" s="123"/>
      <c r="AU109" s="123"/>
      <c r="AV109" s="123"/>
      <c r="AW109" s="123"/>
      <c r="AX109" s="123"/>
      <c r="AY109" s="123"/>
      <c r="AZ109" s="123"/>
      <c r="BA109" s="123"/>
      <c r="BB109" s="123"/>
      <c r="BC109" s="123"/>
      <c r="BD109" s="123"/>
      <c r="BE109" s="123"/>
      <c r="BF109" s="123"/>
      <c r="BG109" s="123"/>
      <c r="BH109" s="123"/>
      <c r="BI109" s="123"/>
      <c r="BJ109" s="123"/>
      <c r="BK109" s="123"/>
      <c r="BL109" s="123"/>
      <c r="BM109" s="123"/>
      <c r="BN109" s="123"/>
      <c r="BO109" s="123"/>
      <c r="BP109" s="123"/>
      <c r="BQ109" s="123"/>
      <c r="BR109" s="123"/>
      <c r="BS109" s="123"/>
      <c r="BT109" s="123"/>
      <c r="BU109" s="123"/>
      <c r="BV109" s="123"/>
      <c r="BW109" s="123"/>
      <c r="BX109" s="123"/>
      <c r="BY109" s="123"/>
      <c r="BZ109" s="123"/>
    </row>
    <row r="110" spans="10:78" x14ac:dyDescent="0.3">
      <c r="J110" s="159"/>
      <c r="K110" s="123"/>
      <c r="L110" s="160"/>
      <c r="M110" s="159"/>
      <c r="N110" s="93"/>
      <c r="O110" s="94"/>
      <c r="P110" s="159"/>
      <c r="Q110" s="123"/>
      <c r="R110" s="160"/>
      <c r="S110" s="159"/>
      <c r="T110" s="93"/>
      <c r="U110" s="94"/>
      <c r="V110" s="159"/>
      <c r="W110" s="123"/>
      <c r="X110" s="160"/>
      <c r="Y110" s="122"/>
      <c r="Z110" s="123"/>
      <c r="AA110" s="123"/>
      <c r="AB110" s="123"/>
      <c r="AC110" s="123"/>
      <c r="AD110" s="123"/>
      <c r="AE110" s="123"/>
      <c r="AF110" s="123"/>
      <c r="AG110" s="123"/>
      <c r="AH110" s="123"/>
      <c r="AI110" s="123"/>
      <c r="AJ110" s="123"/>
      <c r="AK110" s="123"/>
      <c r="AL110" s="123"/>
      <c r="AM110" s="123"/>
      <c r="AN110" s="123"/>
      <c r="AO110" s="123"/>
      <c r="AP110" s="123"/>
      <c r="AQ110" s="123"/>
      <c r="AR110" s="123"/>
      <c r="AS110" s="123"/>
      <c r="AT110" s="123"/>
      <c r="AU110" s="123"/>
      <c r="AV110" s="123"/>
      <c r="AW110" s="123"/>
      <c r="AX110" s="123"/>
      <c r="AY110" s="123"/>
      <c r="AZ110" s="123"/>
      <c r="BA110" s="123"/>
      <c r="BB110" s="123"/>
      <c r="BC110" s="123"/>
      <c r="BD110" s="123"/>
      <c r="BE110" s="123"/>
      <c r="BF110" s="123"/>
      <c r="BG110" s="123"/>
      <c r="BH110" s="123"/>
      <c r="BI110" s="123"/>
      <c r="BJ110" s="123"/>
      <c r="BK110" s="123"/>
      <c r="BL110" s="123"/>
      <c r="BM110" s="123"/>
      <c r="BN110" s="123"/>
      <c r="BO110" s="123"/>
      <c r="BP110" s="123"/>
      <c r="BQ110" s="123"/>
      <c r="BR110" s="123"/>
      <c r="BS110" s="123"/>
      <c r="BT110" s="123"/>
      <c r="BU110" s="123"/>
      <c r="BV110" s="123"/>
      <c r="BW110" s="123"/>
      <c r="BX110" s="123"/>
      <c r="BY110" s="123"/>
      <c r="BZ110" s="123"/>
    </row>
    <row r="111" spans="10:78" x14ac:dyDescent="0.3">
      <c r="J111" s="159"/>
      <c r="K111" s="123"/>
      <c r="L111" s="160"/>
      <c r="M111" s="159"/>
      <c r="N111" s="93"/>
      <c r="O111" s="94"/>
      <c r="P111" s="159"/>
      <c r="Q111" s="123"/>
      <c r="R111" s="160"/>
      <c r="S111" s="159"/>
      <c r="T111" s="93"/>
      <c r="U111" s="94"/>
      <c r="V111" s="159"/>
      <c r="W111" s="123"/>
      <c r="X111" s="160"/>
      <c r="Y111" s="122"/>
      <c r="Z111" s="123"/>
      <c r="AA111" s="123"/>
      <c r="AB111" s="123"/>
      <c r="AC111" s="123"/>
      <c r="AD111" s="123"/>
      <c r="AE111" s="123"/>
      <c r="AF111" s="123"/>
      <c r="AG111" s="123"/>
      <c r="AH111" s="123"/>
      <c r="AI111" s="123"/>
      <c r="AJ111" s="123"/>
      <c r="AK111" s="123"/>
      <c r="AL111" s="123"/>
      <c r="AM111" s="123"/>
      <c r="AN111" s="123"/>
      <c r="AO111" s="123"/>
      <c r="AP111" s="123"/>
      <c r="AQ111" s="123"/>
      <c r="AR111" s="123"/>
      <c r="AS111" s="123"/>
      <c r="AT111" s="123"/>
      <c r="AU111" s="123"/>
      <c r="AV111" s="123"/>
      <c r="AW111" s="123"/>
      <c r="AX111" s="123"/>
      <c r="AY111" s="123"/>
      <c r="AZ111" s="123"/>
      <c r="BA111" s="123"/>
      <c r="BB111" s="123"/>
      <c r="BC111" s="123"/>
      <c r="BD111" s="123"/>
      <c r="BE111" s="123"/>
      <c r="BF111" s="123"/>
      <c r="BG111" s="123"/>
      <c r="BH111" s="123"/>
      <c r="BI111" s="123"/>
      <c r="BJ111" s="123"/>
      <c r="BK111" s="123"/>
      <c r="BL111" s="123"/>
      <c r="BM111" s="123"/>
      <c r="BN111" s="123"/>
      <c r="BO111" s="123"/>
      <c r="BP111" s="123"/>
      <c r="BQ111" s="123"/>
      <c r="BR111" s="123"/>
      <c r="BS111" s="123"/>
      <c r="BT111" s="123"/>
      <c r="BU111" s="123"/>
      <c r="BV111" s="123"/>
      <c r="BW111" s="123"/>
      <c r="BX111" s="123"/>
      <c r="BY111" s="123"/>
      <c r="BZ111" s="123"/>
    </row>
    <row r="112" spans="10:78" x14ac:dyDescent="0.3">
      <c r="J112" s="159"/>
      <c r="K112" s="123"/>
      <c r="L112" s="160"/>
      <c r="M112" s="159"/>
      <c r="N112" s="93"/>
      <c r="O112" s="94"/>
      <c r="P112" s="159"/>
      <c r="Q112" s="123"/>
      <c r="R112" s="160"/>
      <c r="S112" s="159"/>
      <c r="T112" s="93"/>
      <c r="U112" s="94"/>
      <c r="V112" s="159"/>
      <c r="W112" s="123"/>
      <c r="X112" s="160"/>
      <c r="Y112" s="122"/>
      <c r="Z112" s="123"/>
      <c r="AA112" s="123"/>
      <c r="AB112" s="123"/>
      <c r="AC112" s="123"/>
      <c r="AD112" s="123"/>
      <c r="AE112" s="123"/>
      <c r="AF112" s="123"/>
      <c r="AG112" s="123"/>
      <c r="AH112" s="123"/>
      <c r="AI112" s="123"/>
      <c r="AJ112" s="123"/>
      <c r="AK112" s="123"/>
      <c r="AL112" s="123"/>
      <c r="AM112" s="123"/>
      <c r="AN112" s="123"/>
      <c r="AO112" s="123"/>
      <c r="AP112" s="123"/>
      <c r="AQ112" s="123"/>
      <c r="AR112" s="123"/>
      <c r="AS112" s="123"/>
      <c r="AT112" s="123"/>
      <c r="AU112" s="123"/>
      <c r="AV112" s="123"/>
      <c r="AW112" s="123"/>
      <c r="AX112" s="123"/>
      <c r="AY112" s="123"/>
      <c r="AZ112" s="123"/>
      <c r="BA112" s="123"/>
      <c r="BB112" s="123"/>
      <c r="BC112" s="123"/>
      <c r="BD112" s="123"/>
      <c r="BE112" s="123"/>
      <c r="BF112" s="123"/>
      <c r="BG112" s="123"/>
      <c r="BH112" s="123"/>
      <c r="BI112" s="123"/>
      <c r="BJ112" s="123"/>
      <c r="BK112" s="123"/>
      <c r="BL112" s="123"/>
      <c r="BM112" s="123"/>
      <c r="BN112" s="123"/>
      <c r="BO112" s="123"/>
      <c r="BP112" s="123"/>
      <c r="BQ112" s="123"/>
      <c r="BR112" s="123"/>
      <c r="BS112" s="123"/>
      <c r="BT112" s="123"/>
      <c r="BU112" s="123"/>
      <c r="BV112" s="123"/>
      <c r="BW112" s="123"/>
      <c r="BX112" s="123"/>
      <c r="BY112" s="123"/>
      <c r="BZ112" s="123"/>
    </row>
    <row r="113" spans="10:78" x14ac:dyDescent="0.3">
      <c r="J113" s="159"/>
      <c r="K113" s="123"/>
      <c r="L113" s="160"/>
      <c r="M113" s="159"/>
      <c r="N113" s="93"/>
      <c r="O113" s="94"/>
      <c r="P113" s="159"/>
      <c r="Q113" s="123"/>
      <c r="R113" s="160"/>
      <c r="S113" s="159"/>
      <c r="T113" s="93"/>
      <c r="U113" s="94"/>
      <c r="V113" s="159"/>
      <c r="W113" s="123"/>
      <c r="X113" s="160"/>
      <c r="Y113" s="122"/>
      <c r="Z113" s="123"/>
      <c r="AA113" s="123"/>
      <c r="AB113" s="123"/>
      <c r="AC113" s="123"/>
      <c r="AD113" s="123"/>
      <c r="AE113" s="123"/>
      <c r="AF113" s="123"/>
      <c r="AG113" s="123"/>
      <c r="AH113" s="123"/>
      <c r="AI113" s="123"/>
      <c r="AJ113" s="123"/>
      <c r="AK113" s="123"/>
      <c r="AL113" s="123"/>
      <c r="AM113" s="123"/>
      <c r="AN113" s="123"/>
      <c r="AO113" s="123"/>
      <c r="AP113" s="123"/>
      <c r="AQ113" s="123"/>
      <c r="AR113" s="123"/>
      <c r="AS113" s="123"/>
      <c r="AT113" s="123"/>
      <c r="AU113" s="123"/>
      <c r="AV113" s="123"/>
      <c r="AW113" s="123"/>
      <c r="AX113" s="123"/>
      <c r="AY113" s="123"/>
      <c r="AZ113" s="123"/>
      <c r="BA113" s="123"/>
      <c r="BB113" s="123"/>
      <c r="BC113" s="123"/>
      <c r="BD113" s="123"/>
      <c r="BE113" s="123"/>
      <c r="BF113" s="123"/>
      <c r="BG113" s="123"/>
      <c r="BH113" s="123"/>
      <c r="BI113" s="123"/>
      <c r="BJ113" s="123"/>
      <c r="BK113" s="123"/>
      <c r="BL113" s="123"/>
      <c r="BM113" s="123"/>
      <c r="BN113" s="123"/>
      <c r="BO113" s="123"/>
      <c r="BP113" s="123"/>
      <c r="BQ113" s="123"/>
      <c r="BR113" s="123"/>
      <c r="BS113" s="123"/>
      <c r="BT113" s="123"/>
      <c r="BU113" s="123"/>
      <c r="BV113" s="123"/>
      <c r="BW113" s="123"/>
      <c r="BX113" s="123"/>
      <c r="BY113" s="123"/>
      <c r="BZ113" s="123"/>
    </row>
    <row r="114" spans="10:78" x14ac:dyDescent="0.3">
      <c r="J114" s="159"/>
      <c r="K114" s="123"/>
      <c r="L114" s="160"/>
      <c r="M114" s="159"/>
      <c r="N114" s="93"/>
      <c r="O114" s="94"/>
      <c r="P114" s="159"/>
      <c r="Q114" s="123"/>
      <c r="R114" s="160"/>
      <c r="S114" s="159"/>
      <c r="T114" s="93"/>
      <c r="U114" s="94"/>
      <c r="V114" s="159"/>
      <c r="W114" s="123"/>
      <c r="X114" s="160"/>
      <c r="Y114" s="122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  <c r="AK114" s="123"/>
      <c r="AL114" s="123"/>
      <c r="AM114" s="123"/>
      <c r="AN114" s="123"/>
      <c r="AO114" s="123"/>
      <c r="AP114" s="123"/>
      <c r="AQ114" s="123"/>
      <c r="AR114" s="123"/>
      <c r="AS114" s="123"/>
      <c r="AT114" s="123"/>
      <c r="AU114" s="123"/>
      <c r="AV114" s="123"/>
      <c r="AW114" s="123"/>
      <c r="AX114" s="123"/>
      <c r="AY114" s="123"/>
      <c r="AZ114" s="123"/>
      <c r="BA114" s="123"/>
      <c r="BB114" s="123"/>
      <c r="BC114" s="123"/>
      <c r="BD114" s="123"/>
      <c r="BE114" s="123"/>
      <c r="BF114" s="123"/>
      <c r="BG114" s="123"/>
      <c r="BH114" s="123"/>
      <c r="BI114" s="123"/>
      <c r="BJ114" s="123"/>
      <c r="BK114" s="123"/>
      <c r="BL114" s="123"/>
      <c r="BM114" s="123"/>
      <c r="BN114" s="123"/>
      <c r="BO114" s="123"/>
      <c r="BP114" s="123"/>
      <c r="BQ114" s="123"/>
      <c r="BR114" s="123"/>
      <c r="BS114" s="123"/>
      <c r="BT114" s="123"/>
      <c r="BU114" s="123"/>
      <c r="BV114" s="123"/>
      <c r="BW114" s="123"/>
      <c r="BX114" s="123"/>
      <c r="BY114" s="123"/>
      <c r="BZ114" s="123"/>
    </row>
    <row r="115" spans="10:78" x14ac:dyDescent="0.3">
      <c r="J115" s="159"/>
      <c r="K115" s="123"/>
      <c r="L115" s="160"/>
      <c r="M115" s="159"/>
      <c r="N115" s="93"/>
      <c r="O115" s="94"/>
      <c r="P115" s="159"/>
      <c r="Q115" s="123"/>
      <c r="R115" s="160"/>
      <c r="S115" s="159"/>
      <c r="T115" s="93"/>
      <c r="U115" s="94"/>
      <c r="V115" s="159"/>
      <c r="W115" s="123"/>
      <c r="X115" s="160"/>
      <c r="Y115" s="122"/>
      <c r="Z115" s="123"/>
      <c r="AA115" s="123"/>
      <c r="AB115" s="123"/>
      <c r="AC115" s="123"/>
      <c r="AD115" s="123"/>
      <c r="AE115" s="123"/>
      <c r="AF115" s="123"/>
      <c r="AG115" s="123"/>
      <c r="AH115" s="123"/>
      <c r="AI115" s="123"/>
      <c r="AJ115" s="123"/>
      <c r="AK115" s="123"/>
      <c r="AL115" s="123"/>
      <c r="AM115" s="123"/>
      <c r="AN115" s="123"/>
      <c r="AO115" s="123"/>
      <c r="AP115" s="123"/>
      <c r="AQ115" s="123"/>
      <c r="AR115" s="123"/>
      <c r="AS115" s="123"/>
      <c r="AT115" s="123"/>
      <c r="AU115" s="123"/>
      <c r="AV115" s="123"/>
      <c r="AW115" s="123"/>
      <c r="AX115" s="123"/>
      <c r="AY115" s="123"/>
      <c r="AZ115" s="123"/>
      <c r="BA115" s="123"/>
      <c r="BB115" s="123"/>
      <c r="BC115" s="123"/>
      <c r="BD115" s="123"/>
      <c r="BE115" s="123"/>
      <c r="BF115" s="123"/>
      <c r="BG115" s="123"/>
      <c r="BH115" s="123"/>
      <c r="BI115" s="123"/>
      <c r="BJ115" s="123"/>
      <c r="BK115" s="123"/>
      <c r="BL115" s="123"/>
      <c r="BM115" s="123"/>
      <c r="BN115" s="123"/>
      <c r="BO115" s="123"/>
      <c r="BP115" s="123"/>
      <c r="BQ115" s="123"/>
      <c r="BR115" s="123"/>
      <c r="BS115" s="123"/>
      <c r="BT115" s="123"/>
      <c r="BU115" s="123"/>
      <c r="BV115" s="123"/>
      <c r="BW115" s="123"/>
      <c r="BX115" s="123"/>
      <c r="BY115" s="123"/>
      <c r="BZ115" s="123"/>
    </row>
    <row r="116" spans="10:78" x14ac:dyDescent="0.3">
      <c r="J116" s="159"/>
      <c r="K116" s="123"/>
      <c r="L116" s="160"/>
      <c r="M116" s="159"/>
      <c r="N116" s="93"/>
      <c r="O116" s="94"/>
      <c r="P116" s="159"/>
      <c r="Q116" s="123"/>
      <c r="R116" s="160"/>
      <c r="S116" s="159"/>
      <c r="T116" s="93"/>
      <c r="U116" s="94"/>
      <c r="V116" s="159"/>
      <c r="W116" s="123"/>
      <c r="X116" s="160"/>
      <c r="Y116" s="122"/>
      <c r="Z116" s="123"/>
      <c r="AA116" s="123"/>
      <c r="AB116" s="123"/>
      <c r="AC116" s="123"/>
      <c r="AD116" s="123"/>
      <c r="AE116" s="123"/>
      <c r="AF116" s="123"/>
      <c r="AG116" s="123"/>
      <c r="AH116" s="123"/>
      <c r="AI116" s="123"/>
      <c r="AJ116" s="123"/>
      <c r="AK116" s="123"/>
      <c r="AL116" s="123"/>
      <c r="AM116" s="123"/>
      <c r="AN116" s="123"/>
      <c r="AO116" s="123"/>
      <c r="AP116" s="123"/>
      <c r="AQ116" s="123"/>
      <c r="AR116" s="123"/>
      <c r="AS116" s="123"/>
      <c r="AT116" s="123"/>
      <c r="AU116" s="123"/>
      <c r="AV116" s="123"/>
      <c r="AW116" s="123"/>
      <c r="AX116" s="123"/>
      <c r="AY116" s="123"/>
      <c r="AZ116" s="123"/>
      <c r="BA116" s="123"/>
      <c r="BB116" s="123"/>
      <c r="BC116" s="123"/>
      <c r="BD116" s="123"/>
      <c r="BE116" s="123"/>
      <c r="BF116" s="123"/>
      <c r="BG116" s="123"/>
      <c r="BH116" s="123"/>
      <c r="BI116" s="123"/>
      <c r="BJ116" s="123"/>
      <c r="BK116" s="123"/>
      <c r="BL116" s="123"/>
      <c r="BM116" s="123"/>
      <c r="BN116" s="123"/>
      <c r="BO116" s="123"/>
      <c r="BP116" s="123"/>
      <c r="BQ116" s="123"/>
      <c r="BR116" s="123"/>
      <c r="BS116" s="123"/>
      <c r="BT116" s="123"/>
      <c r="BU116" s="123"/>
      <c r="BV116" s="123"/>
      <c r="BW116" s="123"/>
      <c r="BX116" s="123"/>
      <c r="BY116" s="123"/>
      <c r="BZ116" s="123"/>
    </row>
    <row r="117" spans="10:78" x14ac:dyDescent="0.3">
      <c r="J117" s="159"/>
      <c r="K117" s="123"/>
      <c r="L117" s="160"/>
      <c r="M117" s="159"/>
      <c r="N117" s="93"/>
      <c r="O117" s="94"/>
      <c r="P117" s="159"/>
      <c r="Q117" s="123"/>
      <c r="R117" s="160"/>
      <c r="S117" s="159"/>
      <c r="T117" s="93"/>
      <c r="U117" s="94"/>
      <c r="V117" s="159"/>
      <c r="W117" s="123"/>
      <c r="X117" s="160"/>
      <c r="Y117" s="122"/>
      <c r="Z117" s="123"/>
      <c r="AA117" s="123"/>
      <c r="AB117" s="123"/>
      <c r="AC117" s="123"/>
      <c r="AD117" s="123"/>
      <c r="AE117" s="123"/>
      <c r="AF117" s="123"/>
      <c r="AG117" s="123"/>
      <c r="AH117" s="123"/>
      <c r="AI117" s="123"/>
      <c r="AJ117" s="123"/>
      <c r="AK117" s="123"/>
      <c r="AL117" s="123"/>
      <c r="AM117" s="123"/>
      <c r="AN117" s="123"/>
      <c r="AO117" s="123"/>
      <c r="AP117" s="123"/>
      <c r="AQ117" s="123"/>
      <c r="AR117" s="123"/>
      <c r="AS117" s="123"/>
      <c r="AT117" s="123"/>
      <c r="AU117" s="123"/>
      <c r="AV117" s="123"/>
      <c r="AW117" s="123"/>
      <c r="AX117" s="123"/>
      <c r="AY117" s="123"/>
      <c r="AZ117" s="123"/>
      <c r="BA117" s="123"/>
      <c r="BB117" s="123"/>
      <c r="BC117" s="123"/>
      <c r="BD117" s="123"/>
      <c r="BE117" s="123"/>
      <c r="BF117" s="123"/>
      <c r="BG117" s="123"/>
      <c r="BH117" s="123"/>
      <c r="BI117" s="123"/>
      <c r="BJ117" s="123"/>
      <c r="BK117" s="123"/>
      <c r="BL117" s="123"/>
      <c r="BM117" s="123"/>
      <c r="BN117" s="123"/>
      <c r="BO117" s="123"/>
      <c r="BP117" s="123"/>
      <c r="BQ117" s="123"/>
      <c r="BR117" s="123"/>
      <c r="BS117" s="123"/>
      <c r="BT117" s="123"/>
      <c r="BU117" s="123"/>
      <c r="BV117" s="123"/>
      <c r="BW117" s="123"/>
      <c r="BX117" s="123"/>
      <c r="BY117" s="123"/>
      <c r="BZ117" s="123"/>
    </row>
    <row r="118" spans="10:78" x14ac:dyDescent="0.3">
      <c r="J118" s="159"/>
      <c r="K118" s="123"/>
      <c r="L118" s="160"/>
      <c r="M118" s="159"/>
      <c r="N118" s="93"/>
      <c r="O118" s="94"/>
      <c r="P118" s="159"/>
      <c r="Q118" s="123"/>
      <c r="R118" s="160"/>
      <c r="S118" s="159"/>
      <c r="T118" s="93"/>
      <c r="U118" s="94"/>
      <c r="V118" s="159"/>
      <c r="W118" s="123"/>
      <c r="X118" s="160"/>
      <c r="Y118" s="122"/>
      <c r="Z118" s="123"/>
      <c r="AA118" s="123"/>
      <c r="AB118" s="123"/>
      <c r="AC118" s="123"/>
      <c r="AD118" s="123"/>
      <c r="AE118" s="123"/>
      <c r="AF118" s="123"/>
      <c r="AG118" s="123"/>
      <c r="AH118" s="123"/>
      <c r="AI118" s="123"/>
      <c r="AJ118" s="123"/>
      <c r="AK118" s="123"/>
      <c r="AL118" s="123"/>
      <c r="AM118" s="123"/>
      <c r="AN118" s="123"/>
      <c r="AO118" s="123"/>
      <c r="AP118" s="123"/>
      <c r="AQ118" s="123"/>
      <c r="AR118" s="123"/>
      <c r="AS118" s="123"/>
      <c r="AT118" s="123"/>
      <c r="AU118" s="123"/>
      <c r="AV118" s="123"/>
      <c r="AW118" s="123"/>
      <c r="AX118" s="123"/>
      <c r="AY118" s="123"/>
      <c r="AZ118" s="123"/>
      <c r="BA118" s="123"/>
      <c r="BB118" s="123"/>
      <c r="BC118" s="123"/>
      <c r="BD118" s="123"/>
      <c r="BE118" s="123"/>
      <c r="BF118" s="123"/>
      <c r="BG118" s="123"/>
      <c r="BH118" s="123"/>
      <c r="BI118" s="123"/>
      <c r="BJ118" s="123"/>
      <c r="BK118" s="123"/>
      <c r="BL118" s="123"/>
      <c r="BM118" s="123"/>
      <c r="BN118" s="123"/>
      <c r="BO118" s="123"/>
      <c r="BP118" s="123"/>
      <c r="BQ118" s="123"/>
      <c r="BR118" s="123"/>
      <c r="BS118" s="123"/>
      <c r="BT118" s="123"/>
      <c r="BU118" s="123"/>
      <c r="BV118" s="123"/>
      <c r="BW118" s="123"/>
      <c r="BX118" s="123"/>
      <c r="BY118" s="123"/>
      <c r="BZ118" s="123"/>
    </row>
    <row r="119" spans="10:78" x14ac:dyDescent="0.3">
      <c r="J119" s="159"/>
      <c r="K119" s="123"/>
      <c r="L119" s="160"/>
      <c r="M119" s="159"/>
      <c r="N119" s="93"/>
      <c r="O119" s="94"/>
      <c r="P119" s="159"/>
      <c r="Q119" s="123"/>
      <c r="R119" s="160"/>
      <c r="S119" s="159"/>
      <c r="T119" s="93"/>
      <c r="U119" s="94"/>
      <c r="V119" s="159"/>
      <c r="W119" s="123"/>
      <c r="X119" s="160"/>
      <c r="Y119" s="122"/>
      <c r="Z119" s="123"/>
      <c r="AA119" s="123"/>
      <c r="AB119" s="123"/>
      <c r="AC119" s="123"/>
      <c r="AD119" s="123"/>
      <c r="AE119" s="123"/>
      <c r="AF119" s="123"/>
      <c r="AG119" s="123"/>
      <c r="AH119" s="123"/>
      <c r="AI119" s="123"/>
      <c r="AJ119" s="123"/>
      <c r="AK119" s="123"/>
      <c r="AL119" s="123"/>
      <c r="AM119" s="123"/>
      <c r="AN119" s="123"/>
      <c r="AO119" s="123"/>
      <c r="AP119" s="123"/>
      <c r="AQ119" s="123"/>
      <c r="AR119" s="123"/>
      <c r="AS119" s="123"/>
      <c r="AT119" s="123"/>
      <c r="AU119" s="123"/>
      <c r="AV119" s="123"/>
      <c r="AW119" s="123"/>
      <c r="AX119" s="123"/>
      <c r="AY119" s="123"/>
      <c r="AZ119" s="123"/>
      <c r="BA119" s="123"/>
      <c r="BB119" s="123"/>
      <c r="BC119" s="123"/>
      <c r="BD119" s="123"/>
      <c r="BE119" s="123"/>
      <c r="BF119" s="123"/>
      <c r="BG119" s="123"/>
      <c r="BH119" s="123"/>
      <c r="BI119" s="123"/>
      <c r="BJ119" s="123"/>
      <c r="BK119" s="123"/>
      <c r="BL119" s="123"/>
      <c r="BM119" s="123"/>
      <c r="BN119" s="123"/>
      <c r="BO119" s="123"/>
      <c r="BP119" s="123"/>
      <c r="BQ119" s="123"/>
      <c r="BR119" s="123"/>
      <c r="BS119" s="123"/>
      <c r="BT119" s="123"/>
      <c r="BU119" s="123"/>
      <c r="BV119" s="123"/>
      <c r="BW119" s="123"/>
      <c r="BX119" s="123"/>
      <c r="BY119" s="123"/>
      <c r="BZ119" s="123"/>
    </row>
    <row r="120" spans="10:78" x14ac:dyDescent="0.3">
      <c r="J120" s="159"/>
      <c r="K120" s="123"/>
      <c r="L120" s="160"/>
      <c r="M120" s="159"/>
      <c r="N120" s="93"/>
      <c r="O120" s="94"/>
      <c r="P120" s="159"/>
      <c r="Q120" s="123"/>
      <c r="R120" s="160"/>
      <c r="S120" s="159"/>
      <c r="T120" s="93"/>
      <c r="U120" s="94"/>
      <c r="V120" s="159"/>
      <c r="W120" s="123"/>
      <c r="X120" s="160"/>
      <c r="Y120" s="122"/>
      <c r="Z120" s="123"/>
      <c r="AA120" s="123"/>
      <c r="AB120" s="123"/>
      <c r="AC120" s="123"/>
      <c r="AD120" s="123"/>
      <c r="AE120" s="123"/>
      <c r="AF120" s="123"/>
      <c r="AG120" s="123"/>
      <c r="AH120" s="123"/>
      <c r="AI120" s="123"/>
      <c r="AJ120" s="123"/>
      <c r="AK120" s="123"/>
      <c r="AL120" s="123"/>
      <c r="AM120" s="123"/>
      <c r="AN120" s="123"/>
      <c r="AO120" s="123"/>
      <c r="AP120" s="123"/>
      <c r="AQ120" s="123"/>
      <c r="AR120" s="123"/>
      <c r="AS120" s="123"/>
      <c r="AT120" s="123"/>
      <c r="AU120" s="123"/>
      <c r="AV120" s="123"/>
      <c r="AW120" s="123"/>
      <c r="AX120" s="123"/>
      <c r="AY120" s="123"/>
      <c r="AZ120" s="123"/>
      <c r="BA120" s="123"/>
      <c r="BB120" s="123"/>
      <c r="BC120" s="123"/>
      <c r="BD120" s="123"/>
      <c r="BE120" s="123"/>
      <c r="BF120" s="123"/>
      <c r="BG120" s="123"/>
      <c r="BH120" s="123"/>
      <c r="BI120" s="123"/>
      <c r="BJ120" s="123"/>
      <c r="BK120" s="123"/>
      <c r="BL120" s="123"/>
      <c r="BM120" s="123"/>
      <c r="BN120" s="123"/>
      <c r="BO120" s="123"/>
      <c r="BP120" s="123"/>
      <c r="BQ120" s="123"/>
      <c r="BR120" s="123"/>
      <c r="BS120" s="123"/>
      <c r="BT120" s="123"/>
      <c r="BU120" s="123"/>
      <c r="BV120" s="123"/>
      <c r="BW120" s="123"/>
      <c r="BX120" s="123"/>
      <c r="BY120" s="123"/>
      <c r="BZ120" s="123"/>
    </row>
    <row r="121" spans="10:78" x14ac:dyDescent="0.3">
      <c r="J121" s="159"/>
      <c r="K121" s="123"/>
      <c r="L121" s="160"/>
      <c r="M121" s="159"/>
      <c r="N121" s="93"/>
      <c r="O121" s="94"/>
      <c r="P121" s="159"/>
      <c r="Q121" s="123"/>
      <c r="R121" s="160"/>
      <c r="S121" s="159"/>
      <c r="T121" s="93"/>
      <c r="U121" s="94"/>
      <c r="V121" s="159"/>
      <c r="W121" s="123"/>
      <c r="X121" s="160"/>
      <c r="Y121" s="122"/>
      <c r="Z121" s="123"/>
      <c r="AA121" s="123"/>
      <c r="AB121" s="123"/>
      <c r="AC121" s="123"/>
      <c r="AD121" s="123"/>
      <c r="AE121" s="123"/>
      <c r="AF121" s="123"/>
      <c r="AG121" s="123"/>
      <c r="AH121" s="123"/>
      <c r="AI121" s="123"/>
      <c r="AJ121" s="123"/>
      <c r="AK121" s="123"/>
      <c r="AL121" s="123"/>
      <c r="AM121" s="123"/>
      <c r="AN121" s="123"/>
      <c r="AO121" s="123"/>
      <c r="AP121" s="123"/>
      <c r="AQ121" s="123"/>
      <c r="AR121" s="123"/>
      <c r="AS121" s="123"/>
      <c r="AT121" s="123"/>
      <c r="AU121" s="123"/>
      <c r="AV121" s="123"/>
      <c r="AW121" s="123"/>
      <c r="AX121" s="123"/>
      <c r="AY121" s="123"/>
      <c r="AZ121" s="123"/>
      <c r="BA121" s="123"/>
      <c r="BB121" s="123"/>
      <c r="BC121" s="123"/>
      <c r="BD121" s="123"/>
      <c r="BE121" s="123"/>
      <c r="BF121" s="123"/>
      <c r="BG121" s="123"/>
      <c r="BH121" s="123"/>
      <c r="BI121" s="123"/>
      <c r="BJ121" s="123"/>
      <c r="BK121" s="123"/>
      <c r="BL121" s="123"/>
      <c r="BM121" s="123"/>
      <c r="BN121" s="123"/>
      <c r="BO121" s="123"/>
      <c r="BP121" s="123"/>
      <c r="BQ121" s="123"/>
      <c r="BR121" s="123"/>
      <c r="BS121" s="123"/>
      <c r="BT121" s="123"/>
      <c r="BU121" s="123"/>
      <c r="BV121" s="123"/>
      <c r="BW121" s="123"/>
      <c r="BX121" s="123"/>
      <c r="BY121" s="123"/>
      <c r="BZ121" s="123"/>
    </row>
    <row r="122" spans="10:78" x14ac:dyDescent="0.3">
      <c r="J122" s="159"/>
      <c r="K122" s="123"/>
      <c r="L122" s="160"/>
      <c r="M122" s="159"/>
      <c r="N122" s="93"/>
      <c r="O122" s="94"/>
      <c r="P122" s="159"/>
      <c r="Q122" s="123"/>
      <c r="R122" s="160"/>
      <c r="S122" s="159"/>
      <c r="T122" s="93"/>
      <c r="U122" s="94"/>
      <c r="V122" s="159"/>
      <c r="W122" s="123"/>
      <c r="X122" s="160"/>
      <c r="Y122" s="122"/>
      <c r="Z122" s="123"/>
      <c r="AA122" s="123"/>
      <c r="AB122" s="123"/>
      <c r="AC122" s="123"/>
      <c r="AD122" s="123"/>
      <c r="AE122" s="123"/>
      <c r="AF122" s="123"/>
      <c r="AG122" s="123"/>
      <c r="AH122" s="123"/>
      <c r="AI122" s="123"/>
      <c r="AJ122" s="123"/>
      <c r="AK122" s="123"/>
      <c r="AL122" s="123"/>
      <c r="AM122" s="123"/>
      <c r="AN122" s="123"/>
      <c r="AO122" s="123"/>
      <c r="AP122" s="123"/>
      <c r="AQ122" s="123"/>
      <c r="AR122" s="123"/>
      <c r="AS122" s="123"/>
      <c r="AT122" s="123"/>
      <c r="AU122" s="123"/>
      <c r="AV122" s="123"/>
      <c r="AW122" s="123"/>
      <c r="AX122" s="123"/>
      <c r="AY122" s="123"/>
      <c r="AZ122" s="123"/>
      <c r="BA122" s="123"/>
      <c r="BB122" s="123"/>
      <c r="BC122" s="123"/>
      <c r="BD122" s="123"/>
      <c r="BE122" s="123"/>
      <c r="BF122" s="123"/>
      <c r="BG122" s="123"/>
      <c r="BH122" s="123"/>
      <c r="BI122" s="123"/>
      <c r="BJ122" s="123"/>
      <c r="BK122" s="123"/>
      <c r="BL122" s="123"/>
      <c r="BM122" s="123"/>
      <c r="BN122" s="123"/>
      <c r="BO122" s="123"/>
      <c r="BP122" s="123"/>
      <c r="BQ122" s="123"/>
      <c r="BR122" s="123"/>
      <c r="BS122" s="123"/>
      <c r="BT122" s="123"/>
      <c r="BU122" s="123"/>
      <c r="BV122" s="123"/>
      <c r="BW122" s="123"/>
      <c r="BX122" s="123"/>
      <c r="BY122" s="123"/>
      <c r="BZ122" s="123"/>
    </row>
    <row r="123" spans="10:78" x14ac:dyDescent="0.3">
      <c r="J123" s="159"/>
      <c r="K123" s="123"/>
      <c r="L123" s="160"/>
      <c r="M123" s="159"/>
      <c r="N123" s="93"/>
      <c r="O123" s="94"/>
      <c r="P123" s="159"/>
      <c r="Q123" s="123"/>
      <c r="R123" s="160"/>
      <c r="S123" s="159"/>
      <c r="T123" s="93"/>
      <c r="U123" s="94"/>
      <c r="V123" s="159"/>
      <c r="W123" s="123"/>
      <c r="X123" s="160"/>
      <c r="Y123" s="122"/>
      <c r="Z123" s="123"/>
      <c r="AA123" s="123"/>
      <c r="AB123" s="123"/>
      <c r="AC123" s="123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3"/>
      <c r="AT123" s="123"/>
      <c r="AU123" s="123"/>
      <c r="AV123" s="123"/>
      <c r="AW123" s="123"/>
      <c r="AX123" s="123"/>
      <c r="AY123" s="123"/>
      <c r="AZ123" s="123"/>
      <c r="BA123" s="123"/>
      <c r="BB123" s="123"/>
      <c r="BC123" s="123"/>
      <c r="BD123" s="123"/>
      <c r="BE123" s="123"/>
      <c r="BF123" s="123"/>
      <c r="BG123" s="123"/>
      <c r="BH123" s="123"/>
      <c r="BI123" s="123"/>
      <c r="BJ123" s="123"/>
      <c r="BK123" s="123"/>
      <c r="BL123" s="123"/>
      <c r="BM123" s="123"/>
      <c r="BN123" s="123"/>
      <c r="BO123" s="123"/>
      <c r="BP123" s="123"/>
      <c r="BQ123" s="123"/>
      <c r="BR123" s="123"/>
      <c r="BS123" s="123"/>
      <c r="BT123" s="123"/>
      <c r="BU123" s="123"/>
      <c r="BV123" s="123"/>
      <c r="BW123" s="123"/>
      <c r="BX123" s="123"/>
      <c r="BY123" s="123"/>
      <c r="BZ123" s="123"/>
    </row>
    <row r="124" spans="10:78" x14ac:dyDescent="0.3">
      <c r="J124" s="159"/>
      <c r="K124" s="123"/>
      <c r="L124" s="160"/>
      <c r="M124" s="159"/>
      <c r="N124" s="93"/>
      <c r="O124" s="94"/>
      <c r="P124" s="159"/>
      <c r="Q124" s="123"/>
      <c r="R124" s="160"/>
      <c r="S124" s="159"/>
      <c r="T124" s="93"/>
      <c r="U124" s="94"/>
      <c r="V124" s="159"/>
      <c r="W124" s="123"/>
      <c r="X124" s="160"/>
      <c r="Y124" s="122"/>
      <c r="Z124" s="123"/>
      <c r="AA124" s="123"/>
      <c r="AB124" s="123"/>
      <c r="AC124" s="123"/>
      <c r="AD124" s="123"/>
      <c r="AE124" s="123"/>
      <c r="AF124" s="123"/>
      <c r="AG124" s="123"/>
      <c r="AH124" s="123"/>
      <c r="AI124" s="123"/>
      <c r="AJ124" s="123"/>
      <c r="AK124" s="123"/>
      <c r="AL124" s="123"/>
      <c r="AM124" s="123"/>
      <c r="AN124" s="123"/>
      <c r="AO124" s="123"/>
      <c r="AP124" s="123"/>
      <c r="AQ124" s="123"/>
      <c r="AR124" s="123"/>
      <c r="AS124" s="123"/>
      <c r="AT124" s="123"/>
      <c r="AU124" s="123"/>
      <c r="AV124" s="123"/>
      <c r="AW124" s="123"/>
      <c r="AX124" s="123"/>
      <c r="AY124" s="123"/>
      <c r="AZ124" s="123"/>
      <c r="BA124" s="123"/>
      <c r="BB124" s="123"/>
      <c r="BC124" s="123"/>
      <c r="BD124" s="123"/>
      <c r="BE124" s="123"/>
      <c r="BF124" s="123"/>
      <c r="BG124" s="123"/>
      <c r="BH124" s="123"/>
      <c r="BI124" s="123"/>
      <c r="BJ124" s="123"/>
      <c r="BK124" s="123"/>
      <c r="BL124" s="123"/>
      <c r="BM124" s="123"/>
      <c r="BN124" s="123"/>
      <c r="BO124" s="123"/>
      <c r="BP124" s="123"/>
      <c r="BQ124" s="123"/>
      <c r="BR124" s="123"/>
      <c r="BS124" s="123"/>
      <c r="BT124" s="123"/>
      <c r="BU124" s="123"/>
      <c r="BV124" s="123"/>
      <c r="BW124" s="123"/>
      <c r="BX124" s="123"/>
      <c r="BY124" s="123"/>
      <c r="BZ124" s="123"/>
    </row>
    <row r="125" spans="10:78" x14ac:dyDescent="0.3">
      <c r="J125" s="159"/>
      <c r="K125" s="123"/>
      <c r="L125" s="160"/>
      <c r="M125" s="159"/>
      <c r="N125" s="93"/>
      <c r="O125" s="94"/>
      <c r="P125" s="159"/>
      <c r="Q125" s="123"/>
      <c r="R125" s="160"/>
      <c r="S125" s="159"/>
      <c r="T125" s="93"/>
      <c r="U125" s="94"/>
      <c r="V125" s="159"/>
      <c r="W125" s="123"/>
      <c r="X125" s="160"/>
      <c r="Y125" s="122"/>
      <c r="Z125" s="123"/>
      <c r="AA125" s="123"/>
      <c r="AB125" s="123"/>
      <c r="AC125" s="123"/>
      <c r="AD125" s="123"/>
      <c r="AE125" s="123"/>
      <c r="AF125" s="123"/>
      <c r="AG125" s="123"/>
      <c r="AH125" s="123"/>
      <c r="AI125" s="123"/>
      <c r="AJ125" s="123"/>
      <c r="AK125" s="123"/>
      <c r="AL125" s="123"/>
      <c r="AM125" s="123"/>
      <c r="AN125" s="123"/>
      <c r="AO125" s="123"/>
      <c r="AP125" s="123"/>
      <c r="AQ125" s="123"/>
      <c r="AR125" s="123"/>
      <c r="AS125" s="123"/>
      <c r="AT125" s="123"/>
      <c r="AU125" s="123"/>
      <c r="AV125" s="123"/>
      <c r="AW125" s="123"/>
      <c r="AX125" s="123"/>
      <c r="AY125" s="123"/>
      <c r="AZ125" s="123"/>
      <c r="BA125" s="123"/>
      <c r="BB125" s="123"/>
      <c r="BC125" s="123"/>
      <c r="BD125" s="123"/>
      <c r="BE125" s="123"/>
      <c r="BF125" s="123"/>
      <c r="BG125" s="123"/>
      <c r="BH125" s="123"/>
      <c r="BI125" s="123"/>
      <c r="BJ125" s="123"/>
      <c r="BK125" s="123"/>
      <c r="BL125" s="123"/>
      <c r="BM125" s="123"/>
      <c r="BN125" s="123"/>
      <c r="BO125" s="123"/>
      <c r="BP125" s="123"/>
      <c r="BQ125" s="123"/>
      <c r="BR125" s="123"/>
      <c r="BS125" s="123"/>
      <c r="BT125" s="123"/>
      <c r="BU125" s="123"/>
      <c r="BV125" s="123"/>
      <c r="BW125" s="123"/>
      <c r="BX125" s="123"/>
      <c r="BY125" s="123"/>
      <c r="BZ125" s="123"/>
    </row>
    <row r="126" spans="10:78" x14ac:dyDescent="0.3">
      <c r="J126" s="159"/>
      <c r="K126" s="123"/>
      <c r="L126" s="160"/>
      <c r="M126" s="159"/>
      <c r="N126" s="93"/>
      <c r="O126" s="94"/>
      <c r="P126" s="159"/>
      <c r="Q126" s="123"/>
      <c r="R126" s="160"/>
      <c r="S126" s="159"/>
      <c r="T126" s="93"/>
      <c r="U126" s="94"/>
      <c r="V126" s="159"/>
      <c r="W126" s="123"/>
      <c r="X126" s="160"/>
      <c r="Y126" s="122"/>
      <c r="Z126" s="123"/>
      <c r="AA126" s="123"/>
      <c r="AB126" s="123"/>
      <c r="AC126" s="123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3"/>
      <c r="AT126" s="123"/>
      <c r="AU126" s="123"/>
      <c r="AV126" s="123"/>
      <c r="AW126" s="123"/>
      <c r="AX126" s="123"/>
      <c r="AY126" s="123"/>
      <c r="AZ126" s="123"/>
      <c r="BA126" s="123"/>
      <c r="BB126" s="123"/>
      <c r="BC126" s="123"/>
      <c r="BD126" s="123"/>
      <c r="BE126" s="123"/>
      <c r="BF126" s="123"/>
      <c r="BG126" s="123"/>
      <c r="BH126" s="123"/>
      <c r="BI126" s="123"/>
      <c r="BJ126" s="123"/>
      <c r="BK126" s="123"/>
      <c r="BL126" s="123"/>
      <c r="BM126" s="123"/>
      <c r="BN126" s="123"/>
      <c r="BO126" s="123"/>
      <c r="BP126" s="123"/>
      <c r="BQ126" s="123"/>
      <c r="BR126" s="123"/>
      <c r="BS126" s="123"/>
      <c r="BT126" s="123"/>
      <c r="BU126" s="123"/>
      <c r="BV126" s="123"/>
      <c r="BW126" s="123"/>
      <c r="BX126" s="123"/>
      <c r="BY126" s="123"/>
      <c r="BZ126" s="123"/>
    </row>
    <row r="127" spans="10:78" x14ac:dyDescent="0.3">
      <c r="J127" s="159"/>
      <c r="K127" s="123"/>
      <c r="L127" s="160"/>
      <c r="M127" s="159"/>
      <c r="N127" s="93"/>
      <c r="O127" s="94"/>
      <c r="P127" s="159"/>
      <c r="Q127" s="123"/>
      <c r="R127" s="160"/>
      <c r="S127" s="159"/>
      <c r="T127" s="93"/>
      <c r="U127" s="94"/>
      <c r="V127" s="159"/>
      <c r="W127" s="123"/>
      <c r="X127" s="160"/>
      <c r="Y127" s="122"/>
      <c r="Z127" s="123"/>
      <c r="AA127" s="123"/>
      <c r="AB127" s="123"/>
      <c r="AC127" s="123"/>
      <c r="AD127" s="123"/>
      <c r="AE127" s="123"/>
      <c r="AF127" s="123"/>
      <c r="AG127" s="123"/>
      <c r="AH127" s="123"/>
      <c r="AI127" s="123"/>
      <c r="AJ127" s="123"/>
      <c r="AK127" s="123"/>
      <c r="AL127" s="123"/>
      <c r="AM127" s="123"/>
      <c r="AN127" s="123"/>
      <c r="AO127" s="123"/>
      <c r="AP127" s="123"/>
      <c r="AQ127" s="123"/>
      <c r="AR127" s="123"/>
      <c r="AS127" s="123"/>
      <c r="AT127" s="123"/>
      <c r="AU127" s="123"/>
      <c r="AV127" s="123"/>
      <c r="AW127" s="123"/>
      <c r="AX127" s="123"/>
      <c r="AY127" s="123"/>
      <c r="AZ127" s="123"/>
      <c r="BA127" s="123"/>
      <c r="BB127" s="123"/>
      <c r="BC127" s="123"/>
      <c r="BD127" s="123"/>
      <c r="BE127" s="123"/>
      <c r="BF127" s="123"/>
      <c r="BG127" s="123"/>
      <c r="BH127" s="123"/>
      <c r="BI127" s="123"/>
      <c r="BJ127" s="123"/>
      <c r="BK127" s="123"/>
      <c r="BL127" s="123"/>
      <c r="BM127" s="123"/>
      <c r="BN127" s="123"/>
      <c r="BO127" s="123"/>
      <c r="BP127" s="123"/>
      <c r="BQ127" s="123"/>
      <c r="BR127" s="123"/>
      <c r="BS127" s="123"/>
      <c r="BT127" s="123"/>
      <c r="BU127" s="123"/>
      <c r="BV127" s="123"/>
      <c r="BW127" s="123"/>
      <c r="BX127" s="123"/>
      <c r="BY127" s="123"/>
      <c r="BZ127" s="123"/>
    </row>
    <row r="128" spans="10:78" x14ac:dyDescent="0.3">
      <c r="J128" s="159"/>
      <c r="K128" s="123"/>
      <c r="L128" s="160"/>
      <c r="M128" s="159"/>
      <c r="N128" s="93"/>
      <c r="O128" s="94"/>
      <c r="P128" s="159"/>
      <c r="Q128" s="123"/>
      <c r="R128" s="160"/>
      <c r="S128" s="159"/>
      <c r="T128" s="93"/>
      <c r="U128" s="94"/>
      <c r="V128" s="159"/>
      <c r="W128" s="123"/>
      <c r="X128" s="160"/>
      <c r="Y128" s="122"/>
      <c r="Z128" s="123"/>
      <c r="AA128" s="123"/>
      <c r="AB128" s="123"/>
      <c r="AC128" s="123"/>
      <c r="AD128" s="123"/>
      <c r="AE128" s="123"/>
      <c r="AF128" s="123"/>
      <c r="AG128" s="123"/>
      <c r="AH128" s="123"/>
      <c r="AI128" s="123"/>
      <c r="AJ128" s="123"/>
      <c r="AK128" s="123"/>
      <c r="AL128" s="123"/>
      <c r="AM128" s="123"/>
      <c r="AN128" s="123"/>
      <c r="AO128" s="123"/>
      <c r="AP128" s="123"/>
      <c r="AQ128" s="123"/>
      <c r="AR128" s="123"/>
      <c r="AS128" s="123"/>
      <c r="AT128" s="123"/>
      <c r="AU128" s="123"/>
      <c r="AV128" s="123"/>
      <c r="AW128" s="123"/>
      <c r="AX128" s="123"/>
      <c r="AY128" s="123"/>
      <c r="AZ128" s="123"/>
      <c r="BA128" s="123"/>
      <c r="BB128" s="123"/>
      <c r="BC128" s="123"/>
      <c r="BD128" s="123"/>
      <c r="BE128" s="123"/>
      <c r="BF128" s="123"/>
      <c r="BG128" s="123"/>
      <c r="BH128" s="123"/>
      <c r="BI128" s="123"/>
      <c r="BJ128" s="123"/>
      <c r="BK128" s="123"/>
      <c r="BL128" s="123"/>
      <c r="BM128" s="123"/>
      <c r="BN128" s="123"/>
      <c r="BO128" s="123"/>
      <c r="BP128" s="123"/>
      <c r="BQ128" s="123"/>
      <c r="BR128" s="123"/>
      <c r="BS128" s="123"/>
      <c r="BT128" s="123"/>
      <c r="BU128" s="123"/>
      <c r="BV128" s="123"/>
      <c r="BW128" s="123"/>
      <c r="BX128" s="123"/>
      <c r="BY128" s="123"/>
      <c r="BZ128" s="123"/>
    </row>
    <row r="129" spans="10:78" x14ac:dyDescent="0.3">
      <c r="J129" s="159"/>
      <c r="K129" s="123"/>
      <c r="L129" s="160"/>
      <c r="M129" s="159"/>
      <c r="N129" s="93"/>
      <c r="O129" s="94"/>
      <c r="P129" s="159"/>
      <c r="Q129" s="123"/>
      <c r="R129" s="160"/>
      <c r="S129" s="159"/>
      <c r="T129" s="93"/>
      <c r="U129" s="94"/>
      <c r="V129" s="159"/>
      <c r="W129" s="123"/>
      <c r="X129" s="160"/>
      <c r="Y129" s="122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3"/>
      <c r="AT129" s="123"/>
      <c r="AU129" s="123"/>
      <c r="AV129" s="123"/>
      <c r="AW129" s="123"/>
      <c r="AX129" s="123"/>
      <c r="AY129" s="123"/>
      <c r="AZ129" s="123"/>
      <c r="BA129" s="123"/>
      <c r="BB129" s="123"/>
      <c r="BC129" s="123"/>
      <c r="BD129" s="123"/>
      <c r="BE129" s="123"/>
      <c r="BF129" s="123"/>
      <c r="BG129" s="123"/>
      <c r="BH129" s="123"/>
      <c r="BI129" s="123"/>
      <c r="BJ129" s="123"/>
      <c r="BK129" s="123"/>
      <c r="BL129" s="123"/>
      <c r="BM129" s="123"/>
      <c r="BN129" s="123"/>
      <c r="BO129" s="123"/>
      <c r="BP129" s="123"/>
      <c r="BQ129" s="123"/>
      <c r="BR129" s="123"/>
      <c r="BS129" s="123"/>
      <c r="BT129" s="123"/>
      <c r="BU129" s="123"/>
      <c r="BV129" s="123"/>
      <c r="BW129" s="123"/>
      <c r="BX129" s="123"/>
      <c r="BY129" s="123"/>
      <c r="BZ129" s="123"/>
    </row>
    <row r="130" spans="10:78" x14ac:dyDescent="0.3">
      <c r="J130" s="159"/>
      <c r="K130" s="123"/>
      <c r="L130" s="160"/>
      <c r="M130" s="159"/>
      <c r="N130" s="93"/>
      <c r="O130" s="94"/>
      <c r="P130" s="159"/>
      <c r="Q130" s="123"/>
      <c r="R130" s="160"/>
      <c r="S130" s="159"/>
      <c r="T130" s="93"/>
      <c r="U130" s="94"/>
      <c r="V130" s="159"/>
      <c r="W130" s="123"/>
      <c r="X130" s="160"/>
      <c r="Y130" s="122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3"/>
      <c r="AT130" s="123"/>
      <c r="AU130" s="123"/>
      <c r="AV130" s="123"/>
      <c r="AW130" s="123"/>
      <c r="AX130" s="123"/>
      <c r="AY130" s="123"/>
      <c r="AZ130" s="123"/>
      <c r="BA130" s="123"/>
      <c r="BB130" s="123"/>
      <c r="BC130" s="123"/>
      <c r="BD130" s="123"/>
      <c r="BE130" s="123"/>
      <c r="BF130" s="123"/>
      <c r="BG130" s="123"/>
      <c r="BH130" s="123"/>
      <c r="BI130" s="123"/>
      <c r="BJ130" s="123"/>
      <c r="BK130" s="123"/>
      <c r="BL130" s="123"/>
      <c r="BM130" s="123"/>
      <c r="BN130" s="123"/>
      <c r="BO130" s="123"/>
      <c r="BP130" s="123"/>
      <c r="BQ130" s="123"/>
      <c r="BR130" s="123"/>
      <c r="BS130" s="123"/>
      <c r="BT130" s="123"/>
      <c r="BU130" s="123"/>
      <c r="BV130" s="123"/>
      <c r="BW130" s="123"/>
      <c r="BX130" s="123"/>
      <c r="BY130" s="123"/>
      <c r="BZ130" s="123"/>
    </row>
    <row r="131" spans="10:78" x14ac:dyDescent="0.3">
      <c r="J131" s="159"/>
      <c r="K131" s="123"/>
      <c r="L131" s="160"/>
      <c r="M131" s="159"/>
      <c r="N131" s="93"/>
      <c r="O131" s="94"/>
      <c r="P131" s="159"/>
      <c r="Q131" s="123"/>
      <c r="R131" s="160"/>
      <c r="S131" s="159"/>
      <c r="T131" s="93"/>
      <c r="U131" s="94"/>
      <c r="V131" s="159"/>
      <c r="W131" s="123"/>
      <c r="X131" s="160"/>
      <c r="Y131" s="122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3"/>
      <c r="AQ131" s="123"/>
      <c r="AR131" s="123"/>
      <c r="AS131" s="123"/>
      <c r="AT131" s="123"/>
      <c r="AU131" s="123"/>
      <c r="AV131" s="123"/>
      <c r="AW131" s="123"/>
      <c r="AX131" s="123"/>
      <c r="AY131" s="123"/>
      <c r="AZ131" s="123"/>
      <c r="BA131" s="123"/>
      <c r="BB131" s="123"/>
      <c r="BC131" s="123"/>
      <c r="BD131" s="123"/>
      <c r="BE131" s="123"/>
      <c r="BF131" s="123"/>
      <c r="BG131" s="123"/>
      <c r="BH131" s="123"/>
      <c r="BI131" s="123"/>
      <c r="BJ131" s="123"/>
      <c r="BK131" s="123"/>
      <c r="BL131" s="123"/>
      <c r="BM131" s="123"/>
      <c r="BN131" s="123"/>
      <c r="BO131" s="123"/>
      <c r="BP131" s="123"/>
      <c r="BQ131" s="123"/>
      <c r="BR131" s="123"/>
      <c r="BS131" s="123"/>
      <c r="BT131" s="123"/>
      <c r="BU131" s="123"/>
      <c r="BV131" s="123"/>
      <c r="BW131" s="123"/>
      <c r="BX131" s="123"/>
      <c r="BY131" s="123"/>
      <c r="BZ131" s="123"/>
    </row>
    <row r="132" spans="10:78" x14ac:dyDescent="0.3">
      <c r="J132" s="159"/>
      <c r="K132" s="123"/>
      <c r="L132" s="160"/>
      <c r="M132" s="159"/>
      <c r="N132" s="93"/>
      <c r="O132" s="94"/>
      <c r="P132" s="159"/>
      <c r="Q132" s="123"/>
      <c r="R132" s="160"/>
      <c r="S132" s="159"/>
      <c r="T132" s="93"/>
      <c r="U132" s="94"/>
      <c r="V132" s="159"/>
      <c r="W132" s="123"/>
      <c r="X132" s="160"/>
      <c r="Y132" s="122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123"/>
      <c r="BM132" s="123"/>
      <c r="BN132" s="123"/>
      <c r="BO132" s="123"/>
      <c r="BP132" s="123"/>
      <c r="BQ132" s="123"/>
      <c r="BR132" s="123"/>
      <c r="BS132" s="123"/>
      <c r="BT132" s="123"/>
      <c r="BU132" s="123"/>
      <c r="BV132" s="123"/>
      <c r="BW132" s="123"/>
      <c r="BX132" s="123"/>
      <c r="BY132" s="123"/>
      <c r="BZ132" s="123"/>
    </row>
    <row r="133" spans="10:78" x14ac:dyDescent="0.3">
      <c r="J133" s="159"/>
      <c r="K133" s="123"/>
      <c r="L133" s="160"/>
      <c r="M133" s="159"/>
      <c r="N133" s="93"/>
      <c r="O133" s="94"/>
      <c r="P133" s="159"/>
      <c r="Q133" s="123"/>
      <c r="R133" s="160"/>
      <c r="S133" s="159"/>
      <c r="T133" s="93"/>
      <c r="U133" s="94"/>
      <c r="V133" s="159"/>
      <c r="W133" s="123"/>
      <c r="X133" s="160"/>
      <c r="Y133" s="122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3"/>
      <c r="AT133" s="123"/>
      <c r="AU133" s="123"/>
      <c r="AV133" s="123"/>
      <c r="AW133" s="123"/>
      <c r="AX133" s="123"/>
      <c r="AY133" s="123"/>
      <c r="AZ133" s="123"/>
      <c r="BA133" s="123"/>
      <c r="BB133" s="123"/>
      <c r="BC133" s="123"/>
      <c r="BD133" s="123"/>
      <c r="BE133" s="123"/>
      <c r="BF133" s="123"/>
      <c r="BG133" s="123"/>
      <c r="BH133" s="123"/>
      <c r="BI133" s="123"/>
      <c r="BJ133" s="123"/>
      <c r="BK133" s="123"/>
      <c r="BL133" s="123"/>
      <c r="BM133" s="123"/>
      <c r="BN133" s="123"/>
      <c r="BO133" s="123"/>
      <c r="BP133" s="123"/>
      <c r="BQ133" s="123"/>
      <c r="BR133" s="123"/>
      <c r="BS133" s="123"/>
      <c r="BT133" s="123"/>
      <c r="BU133" s="123"/>
      <c r="BV133" s="123"/>
      <c r="BW133" s="123"/>
      <c r="BX133" s="123"/>
      <c r="BY133" s="123"/>
      <c r="BZ133" s="123"/>
    </row>
    <row r="134" spans="10:78" x14ac:dyDescent="0.3">
      <c r="J134" s="159"/>
      <c r="K134" s="123"/>
      <c r="L134" s="160"/>
      <c r="M134" s="159"/>
      <c r="N134" s="93"/>
      <c r="O134" s="94"/>
      <c r="P134" s="159"/>
      <c r="Q134" s="123"/>
      <c r="R134" s="160"/>
      <c r="S134" s="159"/>
      <c r="T134" s="93"/>
      <c r="U134" s="94"/>
      <c r="V134" s="159"/>
      <c r="W134" s="123"/>
      <c r="X134" s="160"/>
      <c r="Y134" s="122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23"/>
      <c r="AX134" s="123"/>
      <c r="AY134" s="123"/>
      <c r="AZ134" s="123"/>
      <c r="BA134" s="123"/>
      <c r="BB134" s="123"/>
      <c r="BC134" s="123"/>
      <c r="BD134" s="123"/>
      <c r="BE134" s="123"/>
      <c r="BF134" s="123"/>
      <c r="BG134" s="123"/>
      <c r="BH134" s="123"/>
      <c r="BI134" s="123"/>
      <c r="BJ134" s="123"/>
      <c r="BK134" s="123"/>
      <c r="BL134" s="123"/>
      <c r="BM134" s="123"/>
      <c r="BN134" s="123"/>
      <c r="BO134" s="123"/>
      <c r="BP134" s="123"/>
      <c r="BQ134" s="123"/>
      <c r="BR134" s="123"/>
      <c r="BS134" s="123"/>
      <c r="BT134" s="123"/>
      <c r="BU134" s="123"/>
      <c r="BV134" s="123"/>
      <c r="BW134" s="123"/>
      <c r="BX134" s="123"/>
      <c r="BY134" s="123"/>
      <c r="BZ134" s="123"/>
    </row>
    <row r="135" spans="10:78" x14ac:dyDescent="0.3">
      <c r="J135" s="159"/>
      <c r="K135" s="123"/>
      <c r="L135" s="160"/>
      <c r="M135" s="159"/>
      <c r="N135" s="93"/>
      <c r="O135" s="94"/>
      <c r="P135" s="159"/>
      <c r="Q135" s="123"/>
      <c r="R135" s="160"/>
      <c r="S135" s="159"/>
      <c r="T135" s="93"/>
      <c r="U135" s="94"/>
      <c r="V135" s="159"/>
      <c r="W135" s="123"/>
      <c r="X135" s="160"/>
      <c r="Y135" s="122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  <c r="BJ135" s="123"/>
      <c r="BK135" s="123"/>
      <c r="BL135" s="123"/>
      <c r="BM135" s="123"/>
      <c r="BN135" s="123"/>
      <c r="BO135" s="123"/>
      <c r="BP135" s="123"/>
      <c r="BQ135" s="123"/>
      <c r="BR135" s="123"/>
      <c r="BS135" s="123"/>
      <c r="BT135" s="123"/>
      <c r="BU135" s="123"/>
      <c r="BV135" s="123"/>
      <c r="BW135" s="123"/>
      <c r="BX135" s="123"/>
      <c r="BY135" s="123"/>
      <c r="BZ135" s="123"/>
    </row>
    <row r="136" spans="10:78" x14ac:dyDescent="0.3">
      <c r="P136" s="159"/>
      <c r="Q136" s="123"/>
      <c r="R136" s="160"/>
      <c r="S136" s="159"/>
      <c r="T136" s="93"/>
      <c r="U136" s="94"/>
      <c r="V136" s="159"/>
      <c r="W136" s="123"/>
      <c r="X136" s="160"/>
      <c r="Y136" s="122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3"/>
      <c r="AT136" s="123"/>
      <c r="AU136" s="123"/>
      <c r="AV136" s="123"/>
      <c r="AW136" s="123"/>
      <c r="AX136" s="123"/>
      <c r="AY136" s="123"/>
      <c r="AZ136" s="123"/>
      <c r="BA136" s="123"/>
      <c r="BB136" s="123"/>
      <c r="BC136" s="123"/>
      <c r="BD136" s="123"/>
      <c r="BE136" s="123"/>
      <c r="BF136" s="123"/>
      <c r="BG136" s="123"/>
      <c r="BH136" s="123"/>
      <c r="BI136" s="123"/>
      <c r="BJ136" s="123"/>
      <c r="BK136" s="123"/>
      <c r="BL136" s="123"/>
      <c r="BM136" s="123"/>
      <c r="BN136" s="123"/>
      <c r="BO136" s="123"/>
      <c r="BP136" s="123"/>
      <c r="BQ136" s="123"/>
      <c r="BR136" s="123"/>
      <c r="BS136" s="123"/>
      <c r="BT136" s="123"/>
      <c r="BU136" s="123"/>
      <c r="BV136" s="123"/>
      <c r="BW136" s="123"/>
      <c r="BX136" s="123"/>
      <c r="BY136" s="123"/>
      <c r="BZ136" s="123"/>
    </row>
    <row r="137" spans="10:78" x14ac:dyDescent="0.3">
      <c r="P137" s="159"/>
      <c r="Q137" s="123"/>
      <c r="R137" s="160"/>
      <c r="S137" s="159"/>
      <c r="T137" s="93"/>
      <c r="U137" s="94"/>
      <c r="V137" s="159"/>
      <c r="W137" s="123"/>
      <c r="X137" s="160"/>
      <c r="Y137" s="122"/>
      <c r="Z137" s="123"/>
      <c r="AA137" s="123"/>
      <c r="AB137" s="123"/>
      <c r="AC137" s="123"/>
      <c r="AD137" s="123"/>
      <c r="AE137" s="123"/>
      <c r="AF137" s="123"/>
      <c r="AG137" s="123"/>
      <c r="AH137" s="123"/>
      <c r="AI137" s="123"/>
      <c r="AJ137" s="123"/>
      <c r="AK137" s="123"/>
      <c r="AL137" s="123"/>
      <c r="AM137" s="123"/>
      <c r="AN137" s="123"/>
      <c r="AO137" s="123"/>
      <c r="AP137" s="123"/>
      <c r="AQ137" s="123"/>
      <c r="AR137" s="123"/>
      <c r="AS137" s="123"/>
      <c r="AT137" s="123"/>
      <c r="AU137" s="123"/>
      <c r="AV137" s="123"/>
      <c r="AW137" s="123"/>
      <c r="AX137" s="123"/>
      <c r="AY137" s="123"/>
      <c r="AZ137" s="123"/>
      <c r="BA137" s="123"/>
      <c r="BB137" s="123"/>
      <c r="BC137" s="123"/>
      <c r="BD137" s="123"/>
      <c r="BE137" s="123"/>
      <c r="BF137" s="123"/>
      <c r="BG137" s="123"/>
      <c r="BH137" s="123"/>
      <c r="BI137" s="123"/>
      <c r="BJ137" s="123"/>
      <c r="BK137" s="123"/>
      <c r="BL137" s="123"/>
      <c r="BM137" s="123"/>
      <c r="BN137" s="123"/>
      <c r="BO137" s="123"/>
      <c r="BP137" s="123"/>
      <c r="BQ137" s="123"/>
      <c r="BR137" s="123"/>
      <c r="BS137" s="123"/>
      <c r="BT137" s="123"/>
      <c r="BU137" s="123"/>
      <c r="BV137" s="123"/>
      <c r="BW137" s="123"/>
      <c r="BX137" s="123"/>
      <c r="BY137" s="123"/>
      <c r="BZ137" s="123"/>
    </row>
    <row r="138" spans="10:78" x14ac:dyDescent="0.3">
      <c r="P138" s="159"/>
      <c r="Q138" s="123"/>
      <c r="R138" s="160"/>
      <c r="S138" s="159"/>
      <c r="T138" s="93"/>
      <c r="U138" s="94"/>
      <c r="V138" s="159"/>
      <c r="W138" s="123"/>
      <c r="X138" s="160"/>
      <c r="Y138" s="122"/>
      <c r="Z138" s="123"/>
      <c r="AA138" s="123"/>
      <c r="AB138" s="123"/>
      <c r="AC138" s="123"/>
      <c r="AD138" s="123"/>
      <c r="AE138" s="123"/>
      <c r="AF138" s="123"/>
      <c r="AG138" s="123"/>
      <c r="AH138" s="123"/>
      <c r="AI138" s="123"/>
      <c r="AJ138" s="123"/>
      <c r="AK138" s="123"/>
      <c r="AL138" s="123"/>
      <c r="AM138" s="123"/>
      <c r="AN138" s="123"/>
      <c r="AO138" s="123"/>
      <c r="AP138" s="123"/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/>
      <c r="BB138" s="123"/>
      <c r="BC138" s="123"/>
      <c r="BD138" s="123"/>
      <c r="BE138" s="123"/>
      <c r="BF138" s="123"/>
      <c r="BG138" s="123"/>
      <c r="BH138" s="123"/>
      <c r="BI138" s="123"/>
      <c r="BJ138" s="123"/>
      <c r="BK138" s="123"/>
      <c r="BL138" s="123"/>
      <c r="BM138" s="123"/>
      <c r="BN138" s="123"/>
      <c r="BO138" s="123"/>
      <c r="BP138" s="123"/>
      <c r="BQ138" s="123"/>
      <c r="BR138" s="123"/>
      <c r="BS138" s="123"/>
      <c r="BT138" s="123"/>
      <c r="BU138" s="123"/>
      <c r="BV138" s="123"/>
      <c r="BW138" s="123"/>
      <c r="BX138" s="123"/>
      <c r="BY138" s="123"/>
      <c r="BZ138" s="123"/>
    </row>
    <row r="139" spans="10:78" x14ac:dyDescent="0.3">
      <c r="P139" s="159"/>
      <c r="Q139" s="123"/>
      <c r="R139" s="160"/>
      <c r="S139" s="159"/>
      <c r="T139" s="93"/>
      <c r="U139" s="94"/>
      <c r="V139" s="159"/>
      <c r="W139" s="123"/>
      <c r="X139" s="160"/>
      <c r="Y139" s="122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3"/>
      <c r="AT139" s="123"/>
      <c r="AU139" s="123"/>
      <c r="AV139" s="123"/>
      <c r="AW139" s="123"/>
      <c r="AX139" s="123"/>
      <c r="AY139" s="123"/>
      <c r="AZ139" s="123"/>
      <c r="BA139" s="123"/>
      <c r="BB139" s="123"/>
      <c r="BC139" s="123"/>
      <c r="BD139" s="123"/>
      <c r="BE139" s="123"/>
      <c r="BF139" s="123"/>
      <c r="BG139" s="123"/>
      <c r="BH139" s="123"/>
      <c r="BI139" s="123"/>
      <c r="BJ139" s="123"/>
      <c r="BK139" s="123"/>
      <c r="BL139" s="123"/>
      <c r="BM139" s="123"/>
      <c r="BN139" s="123"/>
      <c r="BO139" s="123"/>
      <c r="BP139" s="123"/>
      <c r="BQ139" s="123"/>
      <c r="BR139" s="123"/>
      <c r="BS139" s="123"/>
      <c r="BT139" s="123"/>
      <c r="BU139" s="123"/>
      <c r="BV139" s="123"/>
      <c r="BW139" s="123"/>
      <c r="BX139" s="123"/>
      <c r="BY139" s="123"/>
      <c r="BZ139" s="123"/>
    </row>
    <row r="140" spans="10:78" x14ac:dyDescent="0.3">
      <c r="P140" s="159"/>
      <c r="Q140" s="123"/>
      <c r="R140" s="160"/>
      <c r="S140" s="159"/>
      <c r="T140" s="93"/>
      <c r="U140" s="94"/>
      <c r="V140" s="159"/>
      <c r="W140" s="123"/>
      <c r="X140" s="160"/>
      <c r="Y140" s="122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3"/>
      <c r="AT140" s="123"/>
      <c r="AU140" s="123"/>
      <c r="AV140" s="123"/>
      <c r="AW140" s="123"/>
      <c r="AX140" s="123"/>
      <c r="AY140" s="123"/>
      <c r="AZ140" s="123"/>
      <c r="BA140" s="123"/>
      <c r="BB140" s="123"/>
      <c r="BC140" s="123"/>
      <c r="BD140" s="123"/>
      <c r="BE140" s="123"/>
      <c r="BF140" s="123"/>
      <c r="BG140" s="123"/>
      <c r="BH140" s="123"/>
      <c r="BI140" s="123"/>
      <c r="BJ140" s="123"/>
      <c r="BK140" s="123"/>
      <c r="BL140" s="123"/>
      <c r="BM140" s="123"/>
      <c r="BN140" s="123"/>
      <c r="BO140" s="123"/>
      <c r="BP140" s="123"/>
      <c r="BQ140" s="123"/>
      <c r="BR140" s="123"/>
      <c r="BS140" s="123"/>
      <c r="BT140" s="123"/>
      <c r="BU140" s="123"/>
      <c r="BV140" s="123"/>
      <c r="BW140" s="123"/>
      <c r="BX140" s="123"/>
      <c r="BY140" s="123"/>
      <c r="BZ140" s="123"/>
    </row>
    <row r="141" spans="10:78" x14ac:dyDescent="0.3">
      <c r="P141" s="159"/>
      <c r="Q141" s="123"/>
      <c r="R141" s="160"/>
      <c r="S141" s="159"/>
      <c r="T141" s="93"/>
      <c r="U141" s="94"/>
      <c r="V141" s="159"/>
      <c r="W141" s="123"/>
      <c r="X141" s="160"/>
      <c r="Y141" s="122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/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</row>
    <row r="142" spans="10:78" x14ac:dyDescent="0.3">
      <c r="P142" s="159"/>
      <c r="Q142" s="123"/>
      <c r="R142" s="160"/>
      <c r="S142" s="159"/>
      <c r="T142" s="93"/>
      <c r="U142" s="94"/>
      <c r="V142" s="159"/>
      <c r="W142" s="123"/>
      <c r="X142" s="160"/>
      <c r="Y142" s="122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3"/>
      <c r="AT142" s="123"/>
      <c r="AU142" s="123"/>
      <c r="AV142" s="123"/>
      <c r="AW142" s="123"/>
      <c r="AX142" s="123"/>
      <c r="AY142" s="123"/>
      <c r="AZ142" s="123"/>
      <c r="BA142" s="123"/>
      <c r="BB142" s="123"/>
      <c r="BC142" s="123"/>
      <c r="BD142" s="123"/>
      <c r="BE142" s="123"/>
      <c r="BF142" s="123"/>
      <c r="BG142" s="123"/>
      <c r="BH142" s="123"/>
      <c r="BI142" s="123"/>
      <c r="BJ142" s="123"/>
      <c r="BK142" s="123"/>
      <c r="BL142" s="123"/>
      <c r="BM142" s="123"/>
      <c r="BN142" s="123"/>
      <c r="BO142" s="123"/>
      <c r="BP142" s="123"/>
      <c r="BQ142" s="123"/>
      <c r="BR142" s="123"/>
      <c r="BS142" s="123"/>
      <c r="BT142" s="123"/>
      <c r="BU142" s="123"/>
      <c r="BV142" s="123"/>
      <c r="BW142" s="123"/>
      <c r="BX142" s="123"/>
      <c r="BY142" s="123"/>
      <c r="BZ142" s="123"/>
    </row>
    <row r="143" spans="10:78" x14ac:dyDescent="0.3">
      <c r="P143" s="159"/>
      <c r="Q143" s="123"/>
      <c r="R143" s="160"/>
      <c r="S143" s="159"/>
      <c r="T143" s="93"/>
      <c r="U143" s="94"/>
      <c r="V143" s="159"/>
      <c r="W143" s="123"/>
      <c r="X143" s="160"/>
      <c r="Y143" s="122"/>
      <c r="Z143" s="123"/>
      <c r="AA143" s="123"/>
      <c r="AB143" s="123"/>
      <c r="AC143" s="123"/>
      <c r="AD143" s="123"/>
      <c r="AE143" s="123"/>
      <c r="AF143" s="123"/>
      <c r="AG143" s="123"/>
      <c r="AH143" s="123"/>
      <c r="AI143" s="123"/>
      <c r="AJ143" s="123"/>
      <c r="AK143" s="123"/>
      <c r="AL143" s="123"/>
      <c r="AM143" s="123"/>
      <c r="AN143" s="123"/>
      <c r="AO143" s="123"/>
      <c r="AP143" s="123"/>
      <c r="AQ143" s="123"/>
      <c r="AR143" s="123"/>
      <c r="AS143" s="123"/>
      <c r="AT143" s="123"/>
      <c r="AU143" s="123"/>
      <c r="AV143" s="123"/>
      <c r="AW143" s="123"/>
      <c r="AX143" s="123"/>
      <c r="AY143" s="123"/>
      <c r="AZ143" s="123"/>
      <c r="BA143" s="123"/>
      <c r="BB143" s="123"/>
      <c r="BC143" s="123"/>
      <c r="BD143" s="123"/>
      <c r="BE143" s="123"/>
      <c r="BF143" s="123"/>
      <c r="BG143" s="123"/>
      <c r="BH143" s="123"/>
      <c r="BI143" s="123"/>
      <c r="BJ143" s="123"/>
      <c r="BK143" s="123"/>
      <c r="BL143" s="123"/>
      <c r="BM143" s="123"/>
      <c r="BN143" s="123"/>
      <c r="BO143" s="123"/>
      <c r="BP143" s="123"/>
      <c r="BQ143" s="123"/>
      <c r="BR143" s="123"/>
      <c r="BS143" s="123"/>
      <c r="BT143" s="123"/>
      <c r="BU143" s="123"/>
      <c r="BV143" s="123"/>
      <c r="BW143" s="123"/>
      <c r="BX143" s="123"/>
      <c r="BY143" s="123"/>
      <c r="BZ143" s="123"/>
    </row>
    <row r="144" spans="10:78" x14ac:dyDescent="0.3">
      <c r="P144" s="159"/>
      <c r="Q144" s="123"/>
      <c r="R144" s="160"/>
      <c r="S144" s="159"/>
      <c r="T144" s="93"/>
      <c r="U144" s="94"/>
      <c r="V144" s="159"/>
      <c r="W144" s="123"/>
      <c r="X144" s="160"/>
      <c r="Y144" s="122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  <c r="AN144" s="123"/>
      <c r="AO144" s="123"/>
      <c r="AP144" s="123"/>
      <c r="AQ144" s="123"/>
      <c r="AR144" s="123"/>
      <c r="AS144" s="123"/>
      <c r="AT144" s="123"/>
      <c r="AU144" s="123"/>
      <c r="AV144" s="123"/>
      <c r="AW144" s="123"/>
      <c r="AX144" s="123"/>
      <c r="AY144" s="123"/>
      <c r="AZ144" s="123"/>
      <c r="BA144" s="123"/>
      <c r="BB144" s="123"/>
      <c r="BC144" s="123"/>
      <c r="BD144" s="123"/>
      <c r="BE144" s="123"/>
      <c r="BF144" s="123"/>
      <c r="BG144" s="123"/>
      <c r="BH144" s="123"/>
      <c r="BI144" s="123"/>
      <c r="BJ144" s="123"/>
      <c r="BK144" s="123"/>
      <c r="BL144" s="123"/>
      <c r="BM144" s="123"/>
      <c r="BN144" s="123"/>
      <c r="BO144" s="123"/>
      <c r="BP144" s="123"/>
      <c r="BQ144" s="123"/>
      <c r="BR144" s="123"/>
      <c r="BS144" s="123"/>
      <c r="BT144" s="123"/>
      <c r="BU144" s="123"/>
      <c r="BV144" s="123"/>
      <c r="BW144" s="123"/>
      <c r="BX144" s="123"/>
      <c r="BY144" s="123"/>
      <c r="BZ144" s="123"/>
    </row>
  </sheetData>
  <mergeCells count="52">
    <mergeCell ref="L45:M45"/>
    <mergeCell ref="N45:O45"/>
    <mergeCell ref="P45:Q45"/>
    <mergeCell ref="R45:S45"/>
    <mergeCell ref="T45:U45"/>
    <mergeCell ref="V45:W45"/>
    <mergeCell ref="X45:Y45"/>
    <mergeCell ref="Z45:AA45"/>
    <mergeCell ref="K14:AA14"/>
    <mergeCell ref="K25:K26"/>
    <mergeCell ref="L25:M25"/>
    <mergeCell ref="N25:O25"/>
    <mergeCell ref="P25:Q25"/>
    <mergeCell ref="R25:S25"/>
    <mergeCell ref="T25:U25"/>
    <mergeCell ref="V25:W25"/>
    <mergeCell ref="X25:Y25"/>
    <mergeCell ref="Z25:AA25"/>
    <mergeCell ref="K35:K36"/>
    <mergeCell ref="L35:M35"/>
    <mergeCell ref="X35:Y35"/>
    <mergeCell ref="Z35:AA35"/>
    <mergeCell ref="L15:M15"/>
    <mergeCell ref="N15:O15"/>
    <mergeCell ref="P15:Q15"/>
    <mergeCell ref="R15:S15"/>
    <mergeCell ref="T15:U15"/>
    <mergeCell ref="V15:W15"/>
    <mergeCell ref="X15:Y15"/>
    <mergeCell ref="Z15:AA15"/>
    <mergeCell ref="N35:O35"/>
    <mergeCell ref="P35:Q35"/>
    <mergeCell ref="R35:S35"/>
    <mergeCell ref="T35:U35"/>
    <mergeCell ref="V35:W35"/>
    <mergeCell ref="A1:E1"/>
    <mergeCell ref="A2:A3"/>
    <mergeCell ref="F1:J1"/>
    <mergeCell ref="F2:F3"/>
    <mergeCell ref="K1:O1"/>
    <mergeCell ref="K2:K3"/>
    <mergeCell ref="K15:K16"/>
    <mergeCell ref="A14:I14"/>
    <mergeCell ref="A35:A36"/>
    <mergeCell ref="A85:A86"/>
    <mergeCell ref="A75:A76"/>
    <mergeCell ref="A65:A66"/>
    <mergeCell ref="A55:A56"/>
    <mergeCell ref="A45:A46"/>
    <mergeCell ref="A15:A16"/>
    <mergeCell ref="A25:A26"/>
    <mergeCell ref="K45:K46"/>
  </mergeCells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source_model &amp; all_similarity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user20427</dc:creator>
  <cp:lastModifiedBy>user20427</cp:lastModifiedBy>
  <dcterms:created xsi:type="dcterms:W3CDTF">2023-02-04T06:25:23Z</dcterms:created>
  <dcterms:modified xsi:type="dcterms:W3CDTF">2023-02-07T11:04:20Z</dcterms:modified>
</cp:coreProperties>
</file>