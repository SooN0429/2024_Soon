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g\M2O\M2Orecord\"/>
    </mc:Choice>
  </mc:AlternateContent>
  <xr:revisionPtr revIDLastSave="0" documentId="13_ncr:1_{F46135F4-80F6-4E4B-A8F3-9AC057F2A950}" xr6:coauthVersionLast="36" xr6:coauthVersionMax="36" xr10:uidLastSave="{00000000-0000-0000-0000-000000000000}"/>
  <bookViews>
    <workbookView xWindow="0" yWindow="0" windowWidth="7632" windowHeight="2616" activeTab="1" xr2:uid="{4CE1C7D1-D20F-450C-B1D6-1802B9DD2D8E}"/>
  </bookViews>
  <sheets>
    <sheet name="similarity" sheetId="1" r:id="rId1"/>
    <sheet name="accurac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3" i="2" l="1"/>
  <c r="X23" i="2"/>
  <c r="W23" i="2"/>
  <c r="V23" i="2"/>
  <c r="V21" i="2"/>
  <c r="W21" i="2"/>
  <c r="X21" i="2"/>
  <c r="Y21" i="2"/>
  <c r="Y19" i="2"/>
  <c r="X19" i="2"/>
  <c r="W19" i="2"/>
  <c r="V19" i="2"/>
  <c r="V17" i="2"/>
  <c r="W17" i="2"/>
  <c r="X17" i="2"/>
  <c r="Y17" i="2"/>
  <c r="Y15" i="2"/>
  <c r="X15" i="2"/>
  <c r="W15" i="2"/>
  <c r="V15" i="2"/>
  <c r="V13" i="2"/>
  <c r="W13" i="2"/>
  <c r="X13" i="2"/>
  <c r="Y13" i="2"/>
  <c r="Y11" i="2"/>
  <c r="X11" i="2"/>
  <c r="W11" i="2"/>
  <c r="V11" i="2"/>
  <c r="Y9" i="2"/>
  <c r="X9" i="2"/>
  <c r="W9" i="2"/>
  <c r="V9" i="2"/>
  <c r="Y7" i="2"/>
  <c r="X7" i="2"/>
  <c r="W7" i="2"/>
  <c r="V7" i="2"/>
  <c r="K13" i="2" l="1"/>
  <c r="L13" i="2"/>
  <c r="M13" i="2"/>
  <c r="K15" i="2"/>
  <c r="L15" i="2"/>
  <c r="M15" i="2"/>
  <c r="K17" i="2"/>
  <c r="L17" i="2"/>
  <c r="M17" i="2"/>
  <c r="K19" i="2"/>
  <c r="L19" i="2"/>
  <c r="M19" i="2"/>
  <c r="K21" i="2"/>
  <c r="L21" i="2"/>
  <c r="M21" i="2"/>
  <c r="N23" i="2"/>
  <c r="M23" i="2"/>
  <c r="L23" i="2"/>
  <c r="J23" i="2"/>
  <c r="J21" i="2"/>
  <c r="J19" i="2"/>
  <c r="J17" i="2"/>
  <c r="J15" i="2"/>
  <c r="J13" i="2"/>
  <c r="J11" i="2"/>
  <c r="K11" i="2"/>
  <c r="L11" i="2"/>
  <c r="M11" i="2"/>
  <c r="J9" i="2"/>
  <c r="K9" i="2"/>
  <c r="L9" i="2"/>
  <c r="M9" i="2"/>
  <c r="M7" i="2"/>
  <c r="L7" i="2"/>
  <c r="K7" i="2"/>
  <c r="J7" i="2"/>
  <c r="P34" i="2" l="1"/>
  <c r="O34" i="2"/>
  <c r="N34" i="2"/>
  <c r="M34" i="2"/>
  <c r="L34" i="2"/>
  <c r="K34" i="2"/>
  <c r="J34" i="2"/>
  <c r="I34" i="2"/>
  <c r="H34" i="2"/>
  <c r="G34" i="2"/>
  <c r="F34" i="2"/>
  <c r="E34" i="2"/>
  <c r="B31" i="2"/>
  <c r="C31" i="2"/>
  <c r="D31" i="2"/>
  <c r="K40" i="2" l="1"/>
  <c r="C38" i="2"/>
  <c r="D38" i="2"/>
  <c r="E38" i="2"/>
  <c r="F38" i="2"/>
  <c r="G38" i="2"/>
  <c r="H38" i="2"/>
  <c r="I38" i="2"/>
  <c r="J38" i="2"/>
  <c r="K38" i="2"/>
  <c r="B38" i="2"/>
  <c r="I33" i="2"/>
  <c r="J33" i="2"/>
  <c r="K33" i="2"/>
  <c r="L33" i="2"/>
  <c r="M33" i="2"/>
  <c r="N33" i="2"/>
  <c r="O33" i="2"/>
  <c r="P33" i="2"/>
  <c r="F32" i="2"/>
  <c r="G32" i="2"/>
  <c r="H32" i="2"/>
  <c r="I32" i="2"/>
  <c r="J32" i="2"/>
  <c r="K32" i="2"/>
  <c r="L32" i="2"/>
  <c r="M32" i="2"/>
  <c r="N32" i="2"/>
  <c r="O32" i="2"/>
  <c r="P32" i="2"/>
  <c r="E32" i="2"/>
  <c r="D33" i="2" l="1"/>
  <c r="C33" i="2"/>
  <c r="H33" i="2"/>
  <c r="G33" i="2"/>
  <c r="F33" i="2"/>
  <c r="E33" i="2"/>
  <c r="B33" i="2"/>
  <c r="U21" i="2" l="1"/>
  <c r="T21" i="2"/>
  <c r="S21" i="2"/>
  <c r="R21" i="2"/>
  <c r="U19" i="2"/>
  <c r="T19" i="2"/>
  <c r="S19" i="2"/>
  <c r="R19" i="2"/>
  <c r="U17" i="2"/>
  <c r="T17" i="2"/>
  <c r="S17" i="2"/>
  <c r="R17" i="2"/>
  <c r="U15" i="2"/>
  <c r="T15" i="2"/>
  <c r="S15" i="2"/>
  <c r="R15" i="2"/>
  <c r="U13" i="2"/>
  <c r="T13" i="2"/>
  <c r="S13" i="2"/>
  <c r="R13" i="2"/>
  <c r="U11" i="2"/>
  <c r="T11" i="2"/>
  <c r="S11" i="2"/>
  <c r="R11" i="2"/>
  <c r="U9" i="2"/>
  <c r="T9" i="2"/>
  <c r="S9" i="2"/>
  <c r="R9" i="2"/>
  <c r="U7" i="2"/>
  <c r="S7" i="2"/>
  <c r="T7" i="2"/>
  <c r="R7" i="2"/>
  <c r="N7" i="2"/>
  <c r="K22" i="2"/>
  <c r="K23" i="2" s="1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J22" i="2"/>
  <c r="Q21" i="2"/>
  <c r="P21" i="2"/>
  <c r="O21" i="2"/>
  <c r="N21" i="2"/>
  <c r="Q19" i="2"/>
  <c r="P19" i="2"/>
  <c r="O19" i="2"/>
  <c r="N19" i="2"/>
  <c r="Q17" i="2"/>
  <c r="P17" i="2"/>
  <c r="O17" i="2"/>
  <c r="N17" i="2"/>
  <c r="Q15" i="2"/>
  <c r="P15" i="2"/>
  <c r="O15" i="2"/>
  <c r="N15" i="2"/>
  <c r="Q13" i="2"/>
  <c r="P13" i="2"/>
  <c r="O13" i="2"/>
  <c r="N13" i="2"/>
  <c r="Q11" i="2"/>
  <c r="P11" i="2"/>
  <c r="O11" i="2"/>
  <c r="N11" i="2"/>
  <c r="Q9" i="2"/>
  <c r="P9" i="2"/>
  <c r="O9" i="2"/>
  <c r="N9" i="2"/>
  <c r="O7" i="2"/>
  <c r="P7" i="2"/>
  <c r="Q7" i="2"/>
  <c r="B22" i="2"/>
  <c r="F22" i="2"/>
  <c r="I22" i="2"/>
  <c r="D22" i="2"/>
  <c r="E22" i="2"/>
  <c r="G22" i="2"/>
  <c r="H22" i="2"/>
  <c r="T23" i="2" l="1"/>
  <c r="U23" i="2"/>
  <c r="S23" i="2"/>
  <c r="R23" i="2"/>
  <c r="O23" i="2"/>
  <c r="Q23" i="2"/>
  <c r="P23" i="2"/>
  <c r="C22" i="2"/>
</calcChain>
</file>

<file path=xl/sharedStrings.xml><?xml version="1.0" encoding="utf-8"?>
<sst xmlns="http://schemas.openxmlformats.org/spreadsheetml/2006/main" count="186" uniqueCount="72">
  <si>
    <t>similarity score (1900)</t>
    <phoneticPr fontId="2" type="noConversion"/>
  </si>
  <si>
    <t>layer 5</t>
    <phoneticPr fontId="2" type="noConversion"/>
  </si>
  <si>
    <t>apple_to_</t>
    <phoneticPr fontId="2" type="noConversion"/>
  </si>
  <si>
    <t>banana_to_</t>
    <phoneticPr fontId="2" type="noConversion"/>
  </si>
  <si>
    <t>carambola_to_</t>
    <phoneticPr fontId="2" type="noConversion"/>
  </si>
  <si>
    <t>guava_to_</t>
    <phoneticPr fontId="2" type="noConversion"/>
  </si>
  <si>
    <t>muskmelon_to_</t>
    <phoneticPr fontId="2" type="noConversion"/>
  </si>
  <si>
    <t>peach_to_</t>
    <phoneticPr fontId="2" type="noConversion"/>
  </si>
  <si>
    <t>pear_to_</t>
    <phoneticPr fontId="2" type="noConversion"/>
  </si>
  <si>
    <t>tomato_to_</t>
    <phoneticPr fontId="2" type="noConversion"/>
  </si>
  <si>
    <t>positive</t>
  </si>
  <si>
    <t>apple</t>
  </si>
  <si>
    <t>banana</t>
  </si>
  <si>
    <t>carabola</t>
  </si>
  <si>
    <t>guava</t>
  </si>
  <si>
    <t>muskmelon</t>
  </si>
  <si>
    <t>peach</t>
  </si>
  <si>
    <t>pear</t>
  </si>
  <si>
    <t>tomato</t>
  </si>
  <si>
    <t>layer 6</t>
    <phoneticPr fontId="2" type="noConversion"/>
  </si>
  <si>
    <t>layer 7</t>
    <phoneticPr fontId="2" type="noConversion"/>
  </si>
  <si>
    <t>layer 8</t>
    <phoneticPr fontId="2" type="noConversion"/>
  </si>
  <si>
    <t>Tsai</t>
    <phoneticPr fontId="2" type="noConversion"/>
  </si>
  <si>
    <t>Zhou</t>
    <phoneticPr fontId="2" type="noConversion"/>
  </si>
  <si>
    <t>source file: 150, 100, 50</t>
    <phoneticPr fontId="2" type="noConversion"/>
  </si>
  <si>
    <t>2 to 1</t>
    <phoneticPr fontId="2" type="noConversion"/>
  </si>
  <si>
    <t>Apple</t>
    <phoneticPr fontId="2" type="noConversion"/>
  </si>
  <si>
    <t>Banana</t>
    <phoneticPr fontId="2" type="noConversion"/>
  </si>
  <si>
    <t>Carambola</t>
    <phoneticPr fontId="2" type="noConversion"/>
  </si>
  <si>
    <t>Guava</t>
    <phoneticPr fontId="2" type="noConversion"/>
  </si>
  <si>
    <t>Muskmelon</t>
    <phoneticPr fontId="2" type="noConversion"/>
  </si>
  <si>
    <t>Peach</t>
    <phoneticPr fontId="2" type="noConversion"/>
  </si>
  <si>
    <t>Pear</t>
    <phoneticPr fontId="2" type="noConversion"/>
  </si>
  <si>
    <t>Tomato</t>
    <phoneticPr fontId="2" type="noConversion"/>
  </si>
  <si>
    <t>Total Average</t>
    <phoneticPr fontId="2" type="noConversion"/>
  </si>
  <si>
    <t>ELF6</t>
  </si>
  <si>
    <t>ELF7</t>
  </si>
  <si>
    <t>ELF8</t>
  </si>
  <si>
    <t>ALF6</t>
  </si>
  <si>
    <t>ALF7</t>
  </si>
  <si>
    <t>ALF8</t>
  </si>
  <si>
    <t>Tsai (basedline)</t>
    <phoneticPr fontId="2" type="noConversion"/>
  </si>
  <si>
    <t>ELF5</t>
    <phoneticPr fontId="2" type="noConversion"/>
  </si>
  <si>
    <t>ALF5</t>
    <phoneticPr fontId="2" type="noConversion"/>
  </si>
  <si>
    <t>Ours</t>
    <phoneticPr fontId="2" type="noConversion"/>
  </si>
  <si>
    <t>layer5</t>
    <phoneticPr fontId="2" type="noConversion"/>
  </si>
  <si>
    <t>layer6</t>
  </si>
  <si>
    <t>layer7</t>
  </si>
  <si>
    <t>layer8</t>
  </si>
  <si>
    <t>10 Epoch</t>
    <phoneticPr fontId="2" type="noConversion"/>
  </si>
  <si>
    <t>5 Epoch</t>
    <phoneticPr fontId="2" type="noConversion"/>
  </si>
  <si>
    <t>1 Epoch</t>
    <phoneticPr fontId="2" type="noConversion"/>
  </si>
  <si>
    <t>1 Epoch (from similarity)</t>
    <phoneticPr fontId="2" type="noConversion"/>
  </si>
  <si>
    <t>總準確度</t>
    <phoneticPr fontId="2" type="noConversion"/>
  </si>
  <si>
    <t>訓練時間 (s)</t>
    <phoneticPr fontId="2" type="noConversion"/>
  </si>
  <si>
    <t>Lin</t>
    <phoneticPr fontId="2" type="noConversion"/>
  </si>
  <si>
    <t>layer 6</t>
  </si>
  <si>
    <t>layer 7</t>
  </si>
  <si>
    <t>layer 8</t>
  </si>
  <si>
    <t>local learning</t>
    <phoneticPr fontId="2" type="noConversion"/>
  </si>
  <si>
    <t>training time/epoch</t>
    <phoneticPr fontId="2" type="noConversion"/>
  </si>
  <si>
    <t>total training time</t>
    <phoneticPr fontId="2" type="noConversion"/>
  </si>
  <si>
    <t>total training time + local-learning</t>
    <phoneticPr fontId="2" type="noConversion"/>
  </si>
  <si>
    <t>total time</t>
    <phoneticPr fontId="2" type="noConversion"/>
  </si>
  <si>
    <t>ELF5</t>
  </si>
  <si>
    <t>(MB)</t>
    <phoneticPr fontId="2" type="noConversion"/>
  </si>
  <si>
    <t>(byte)</t>
  </si>
  <si>
    <t>epoch 1</t>
    <phoneticPr fontId="2" type="noConversion"/>
  </si>
  <si>
    <t>epoch 5</t>
    <phoneticPr fontId="2" type="noConversion"/>
  </si>
  <si>
    <t>epoch 10</t>
    <phoneticPr fontId="2" type="noConversion"/>
  </si>
  <si>
    <t>資料傳輸量</t>
    <phoneticPr fontId="2" type="noConversion"/>
  </si>
  <si>
    <t>2 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</si>
</sst>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2" fontId="1" fillId="0" borderId="9" xfId="0" applyNumberFormat="1" applyFont="1" applyFill="1" applyBorder="1" applyAlignment="1">
      <alignment horizontal="left" vertical="center"/>
    </xf>
    <xf numFmtId="2" fontId="1" fillId="0" borderId="10" xfId="0" applyNumberFormat="1" applyFont="1" applyFill="1" applyBorder="1" applyAlignment="1">
      <alignment horizontal="left" vertical="center"/>
    </xf>
    <xf numFmtId="2" fontId="1" fillId="0" borderId="11" xfId="0" applyNumberFormat="1" applyFont="1" applyFill="1" applyBorder="1" applyAlignment="1">
      <alignment horizontal="left" vertical="center"/>
    </xf>
    <xf numFmtId="2" fontId="1" fillId="0" borderId="8" xfId="0" applyNumberFormat="1" applyFont="1" applyFill="1" applyBorder="1" applyAlignment="1">
      <alignment horizontal="left" vertical="center"/>
    </xf>
    <xf numFmtId="2" fontId="1" fillId="0" borderId="12" xfId="0" applyNumberFormat="1" applyFont="1" applyFill="1" applyBorder="1" applyAlignment="1">
      <alignment horizontal="left" vertical="center"/>
    </xf>
    <xf numFmtId="2" fontId="1" fillId="0" borderId="13" xfId="0" applyNumberFormat="1" applyFont="1" applyFill="1" applyBorder="1" applyAlignment="1">
      <alignment horizontal="left" vertical="center"/>
    </xf>
    <xf numFmtId="2" fontId="1" fillId="0" borderId="14" xfId="0" applyNumberFormat="1" applyFont="1" applyFill="1" applyBorder="1" applyAlignment="1">
      <alignment horizontal="left" vertical="center"/>
    </xf>
    <xf numFmtId="2" fontId="1" fillId="0" borderId="15" xfId="0" applyNumberFormat="1" applyFont="1" applyFill="1" applyBorder="1" applyAlignment="1">
      <alignment horizontal="left" vertical="center"/>
    </xf>
    <xf numFmtId="2" fontId="1" fillId="10" borderId="7" xfId="0" applyNumberFormat="1" applyFont="1" applyFill="1" applyBorder="1" applyAlignment="1">
      <alignment vertical="center"/>
    </xf>
    <xf numFmtId="2" fontId="1" fillId="9" borderId="6" xfId="0" applyNumberFormat="1" applyFont="1" applyFill="1" applyBorder="1" applyAlignment="1">
      <alignment vertical="center"/>
    </xf>
    <xf numFmtId="2" fontId="1" fillId="0" borderId="4" xfId="0" applyNumberFormat="1" applyFont="1" applyFill="1" applyBorder="1" applyAlignment="1">
      <alignment vertical="center"/>
    </xf>
    <xf numFmtId="2" fontId="1" fillId="0" borderId="8" xfId="0" applyNumberFormat="1" applyFont="1" applyFill="1" applyBorder="1" applyAlignment="1">
      <alignment vertical="center"/>
    </xf>
    <xf numFmtId="2" fontId="1" fillId="3" borderId="5" xfId="0" applyNumberFormat="1" applyFont="1" applyFill="1" applyBorder="1" applyAlignment="1">
      <alignment vertical="center"/>
    </xf>
    <xf numFmtId="2" fontId="1" fillId="4" borderId="6" xfId="0" applyNumberFormat="1" applyFont="1" applyFill="1" applyBorder="1" applyAlignment="1">
      <alignment vertical="center"/>
    </xf>
    <xf numFmtId="2" fontId="1" fillId="5" borderId="6" xfId="0" applyNumberFormat="1" applyFont="1" applyFill="1" applyBorder="1" applyAlignment="1">
      <alignment vertical="center"/>
    </xf>
    <xf numFmtId="2" fontId="1" fillId="6" borderId="6" xfId="0" applyNumberFormat="1" applyFont="1" applyFill="1" applyBorder="1" applyAlignment="1">
      <alignment vertical="center"/>
    </xf>
    <xf numFmtId="2" fontId="1" fillId="7" borderId="6" xfId="0" applyNumberFormat="1" applyFont="1" applyFill="1" applyBorder="1" applyAlignment="1">
      <alignment vertical="center"/>
    </xf>
    <xf numFmtId="2" fontId="1" fillId="8" borderId="6" xfId="0" applyNumberFormat="1" applyFont="1" applyFill="1" applyBorder="1" applyAlignment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1" xfId="0" applyBorder="1">
      <alignment vertical="center"/>
    </xf>
    <xf numFmtId="0" fontId="0" fillId="0" borderId="19" xfId="0" applyBorder="1">
      <alignment vertical="center"/>
    </xf>
    <xf numFmtId="0" fontId="0" fillId="0" borderId="9" xfId="0" applyBorder="1">
      <alignment vertical="center"/>
    </xf>
    <xf numFmtId="0" fontId="0" fillId="0" borderId="20" xfId="0" applyBorder="1">
      <alignment vertical="center"/>
    </xf>
    <xf numFmtId="0" fontId="0" fillId="0" borderId="8" xfId="0" applyBorder="1">
      <alignment vertical="center"/>
    </xf>
    <xf numFmtId="2" fontId="1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0" borderId="10" xfId="0" applyNumberFormat="1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176" fontId="1" fillId="7" borderId="10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13" borderId="10" xfId="0" applyNumberFormat="1" applyFill="1" applyBorder="1" applyAlignment="1">
      <alignment horizontal="center" vertical="center"/>
    </xf>
    <xf numFmtId="2" fontId="4" fillId="13" borderId="10" xfId="0" applyNumberFormat="1" applyFont="1" applyFill="1" applyBorder="1" applyAlignment="1">
      <alignment horizontal="center" vertical="center"/>
    </xf>
    <xf numFmtId="2" fontId="4" fillId="13" borderId="10" xfId="0" applyNumberFormat="1" applyFont="1" applyFill="1" applyBorder="1" applyAlignment="1">
      <alignment horizontal="left" vertical="center"/>
    </xf>
    <xf numFmtId="2" fontId="0" fillId="13" borderId="10" xfId="1" applyNumberFormat="1" applyFont="1" applyFill="1" applyBorder="1" applyAlignment="1">
      <alignment horizontal="center" vertical="center"/>
    </xf>
    <xf numFmtId="2" fontId="0" fillId="12" borderId="10" xfId="0" applyNumberFormat="1" applyFill="1" applyBorder="1" applyAlignment="1">
      <alignment horizontal="center" vertical="center"/>
    </xf>
    <xf numFmtId="2" fontId="4" fillId="12" borderId="10" xfId="0" applyNumberFormat="1" applyFont="1" applyFill="1" applyBorder="1" applyAlignment="1">
      <alignment horizontal="center" vertical="center"/>
    </xf>
    <xf numFmtId="2" fontId="4" fillId="12" borderId="10" xfId="0" applyNumberFormat="1" applyFont="1" applyFill="1" applyBorder="1" applyAlignment="1">
      <alignment horizontal="left" vertical="center"/>
    </xf>
    <xf numFmtId="2" fontId="0" fillId="12" borderId="10" xfId="1" applyNumberFormat="1" applyFont="1" applyFill="1" applyBorder="1" applyAlignment="1">
      <alignment horizontal="center" vertical="center"/>
    </xf>
    <xf numFmtId="2" fontId="0" fillId="14" borderId="10" xfId="0" applyNumberFormat="1" applyFill="1" applyBorder="1" applyAlignment="1">
      <alignment horizontal="center" vertical="center"/>
    </xf>
    <xf numFmtId="2" fontId="4" fillId="14" borderId="10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15" borderId="10" xfId="0" applyNumberFormat="1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176" fontId="1" fillId="16" borderId="10" xfId="0" applyNumberFormat="1" applyFont="1" applyFill="1" applyBorder="1" applyAlignment="1">
      <alignment horizontal="center" vertical="center"/>
    </xf>
    <xf numFmtId="176" fontId="1" fillId="11" borderId="10" xfId="0" applyNumberFormat="1" applyFont="1" applyFill="1" applyBorder="1" applyAlignment="1">
      <alignment horizontal="center" vertical="center"/>
    </xf>
    <xf numFmtId="176" fontId="1" fillId="13" borderId="10" xfId="0" applyNumberFormat="1" applyFont="1" applyFill="1" applyBorder="1" applyAlignment="1">
      <alignment horizontal="center" vertical="center"/>
    </xf>
    <xf numFmtId="176" fontId="1" fillId="12" borderId="10" xfId="0" applyNumberFormat="1" applyFont="1" applyFill="1" applyBorder="1" applyAlignment="1">
      <alignment horizontal="center" vertical="center"/>
    </xf>
    <xf numFmtId="2" fontId="1" fillId="14" borderId="10" xfId="0" applyNumberFormat="1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/>
    </xf>
    <xf numFmtId="176" fontId="1" fillId="14" borderId="10" xfId="0" applyNumberFormat="1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176" fontId="5" fillId="14" borderId="10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0" fillId="14" borderId="10" xfId="1" applyNumberFormat="1" applyFont="1" applyFill="1" applyBorder="1" applyAlignment="1">
      <alignment horizontal="center" vertical="center"/>
    </xf>
    <xf numFmtId="2" fontId="4" fillId="0" borderId="10" xfId="0" applyNumberFormat="1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176" fontId="1" fillId="7" borderId="10" xfId="0" applyNumberFormat="1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" fillId="7" borderId="10" xfId="0" applyNumberFormat="1" applyFont="1" applyFill="1" applyBorder="1" applyAlignment="1">
      <alignment vertical="center"/>
    </xf>
    <xf numFmtId="176" fontId="1" fillId="7" borderId="21" xfId="0" applyNumberFormat="1" applyFont="1" applyFill="1" applyBorder="1" applyAlignment="1">
      <alignment horizontal="center" vertical="center"/>
    </xf>
    <xf numFmtId="176" fontId="1" fillId="7" borderId="22" xfId="0" applyNumberFormat="1" applyFont="1" applyFill="1" applyBorder="1" applyAlignment="1">
      <alignment horizontal="center" vertical="center"/>
    </xf>
    <xf numFmtId="176" fontId="1" fillId="7" borderId="9" xfId="0" applyNumberFormat="1" applyFont="1" applyFill="1" applyBorder="1" applyAlignment="1">
      <alignment horizontal="center" vertical="center"/>
    </xf>
    <xf numFmtId="10" fontId="4" fillId="0" borderId="10" xfId="1" applyNumberFormat="1" applyFont="1" applyBorder="1" applyAlignment="1">
      <alignment horizontal="center" vertical="center"/>
    </xf>
    <xf numFmtId="10" fontId="4" fillId="14" borderId="10" xfId="1" applyNumberFormat="1" applyFont="1" applyFill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EC0C-7A82-4E31-8AF6-8A276871A5A4}">
  <dimension ref="A1:I42"/>
  <sheetViews>
    <sheetView zoomScale="55" zoomScaleNormal="55" workbookViewId="0">
      <selection activeCell="A32" sqref="A32:I41"/>
    </sheetView>
  </sheetViews>
  <sheetFormatPr defaultRowHeight="16.2" x14ac:dyDescent="0.3"/>
  <cols>
    <col min="1" max="1" width="15.77734375" style="29" customWidth="1"/>
    <col min="2" max="2" width="15.77734375" style="27" customWidth="1"/>
    <col min="3" max="8" width="15.77734375" style="19" customWidth="1"/>
    <col min="9" max="9" width="15.77734375" style="25" customWidth="1"/>
  </cols>
  <sheetData>
    <row r="1" spans="1:9" ht="16.8" thickBot="1" x14ac:dyDescent="0.35">
      <c r="A1" s="78" t="s">
        <v>0</v>
      </c>
      <c r="B1" s="79"/>
      <c r="C1" s="79"/>
      <c r="D1" s="79"/>
      <c r="E1" s="79"/>
      <c r="F1" s="79"/>
      <c r="G1" s="79"/>
      <c r="H1" s="79"/>
      <c r="I1" s="80"/>
    </row>
    <row r="2" spans="1:9" s="20" customFormat="1" x14ac:dyDescent="0.3">
      <c r="A2" s="11" t="s">
        <v>1</v>
      </c>
      <c r="B2" s="13" t="s">
        <v>2</v>
      </c>
      <c r="C2" s="14" t="s">
        <v>3</v>
      </c>
      <c r="D2" s="15" t="s">
        <v>4</v>
      </c>
      <c r="E2" s="16" t="s">
        <v>5</v>
      </c>
      <c r="F2" s="17" t="s">
        <v>6</v>
      </c>
      <c r="G2" s="18" t="s">
        <v>7</v>
      </c>
      <c r="H2" s="10" t="s">
        <v>8</v>
      </c>
      <c r="I2" s="9" t="s">
        <v>9</v>
      </c>
    </row>
    <row r="3" spans="1:9" s="21" customFormat="1" x14ac:dyDescent="0.3">
      <c r="A3" s="12"/>
      <c r="B3" s="1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3" t="s">
        <v>10</v>
      </c>
    </row>
    <row r="4" spans="1:9" s="21" customFormat="1" x14ac:dyDescent="0.3">
      <c r="A4" s="4" t="s">
        <v>11</v>
      </c>
      <c r="B4" s="1">
        <v>2.1053000000000002</v>
      </c>
      <c r="C4" s="2">
        <v>1.6608000000000001</v>
      </c>
      <c r="D4" s="2">
        <v>1.4298</v>
      </c>
      <c r="E4" s="2">
        <v>1.5082</v>
      </c>
      <c r="F4" s="2">
        <v>1.1565000000000001</v>
      </c>
      <c r="G4" s="2">
        <v>1.4908999999999999</v>
      </c>
      <c r="H4" s="2">
        <v>1.4739</v>
      </c>
      <c r="I4" s="3">
        <v>1.4865999999999999</v>
      </c>
    </row>
    <row r="5" spans="1:9" s="21" customFormat="1" x14ac:dyDescent="0.3">
      <c r="A5" s="4" t="s">
        <v>12</v>
      </c>
      <c r="B5" s="1">
        <v>3.9365999999999999</v>
      </c>
      <c r="C5" s="2">
        <v>3.1023000000000001</v>
      </c>
      <c r="D5" s="2">
        <v>2.8933</v>
      </c>
      <c r="E5" s="2">
        <v>2.9676999999999998</v>
      </c>
      <c r="F5" s="2">
        <v>2.0629</v>
      </c>
      <c r="G5" s="2">
        <v>2.6166999999999998</v>
      </c>
      <c r="H5" s="2">
        <v>2.8532000000000002</v>
      </c>
      <c r="I5" s="3">
        <v>3.0308000000000002</v>
      </c>
    </row>
    <row r="6" spans="1:9" s="21" customFormat="1" x14ac:dyDescent="0.3">
      <c r="A6" s="4" t="s">
        <v>13</v>
      </c>
      <c r="B6" s="1">
        <v>5.6253000000000002</v>
      </c>
      <c r="C6" s="2">
        <v>4.6384999999999996</v>
      </c>
      <c r="D6" s="2">
        <v>4.6561000000000003</v>
      </c>
      <c r="E6" s="2">
        <v>4.5575000000000001</v>
      </c>
      <c r="F6" s="2">
        <v>3.0404</v>
      </c>
      <c r="G6" s="2">
        <v>3.9228000000000001</v>
      </c>
      <c r="H6" s="2">
        <v>4.3960999999999997</v>
      </c>
      <c r="I6" s="3">
        <v>4.5831999999999997</v>
      </c>
    </row>
    <row r="7" spans="1:9" s="21" customFormat="1" x14ac:dyDescent="0.3">
      <c r="A7" s="4" t="s">
        <v>14</v>
      </c>
      <c r="B7" s="1">
        <v>7.3897000000000004</v>
      </c>
      <c r="C7" s="2">
        <v>5.9794</v>
      </c>
      <c r="D7" s="2">
        <v>6.0162000000000004</v>
      </c>
      <c r="E7" s="2">
        <v>5.6227999999999998</v>
      </c>
      <c r="F7" s="2">
        <v>3.8791000000000002</v>
      </c>
      <c r="G7" s="2">
        <v>4.8719000000000001</v>
      </c>
      <c r="H7" s="2">
        <v>5.5412999999999997</v>
      </c>
      <c r="I7" s="3">
        <v>6.0586000000000002</v>
      </c>
    </row>
    <row r="8" spans="1:9" s="21" customFormat="1" x14ac:dyDescent="0.3">
      <c r="A8" s="4" t="s">
        <v>15</v>
      </c>
      <c r="B8" s="1">
        <v>9.0108999999999995</v>
      </c>
      <c r="C8" s="2">
        <v>7.2286000000000001</v>
      </c>
      <c r="D8" s="2">
        <v>7.4672999999999998</v>
      </c>
      <c r="E8" s="2">
        <v>6.8105000000000002</v>
      </c>
      <c r="F8" s="2">
        <v>5.0206</v>
      </c>
      <c r="G8" s="2">
        <v>5.7736000000000001</v>
      </c>
      <c r="H8" s="2">
        <v>6.6574</v>
      </c>
      <c r="I8" s="3">
        <v>7.5460000000000003</v>
      </c>
    </row>
    <row r="9" spans="1:9" s="21" customFormat="1" x14ac:dyDescent="0.3">
      <c r="A9" s="4" t="s">
        <v>16</v>
      </c>
      <c r="B9" s="1">
        <v>10.8558</v>
      </c>
      <c r="C9" s="2">
        <v>8.8955000000000002</v>
      </c>
      <c r="D9" s="2">
        <v>8.8475000000000001</v>
      </c>
      <c r="E9" s="2">
        <v>8.1128999999999998</v>
      </c>
      <c r="F9" s="2">
        <v>6.0389999999999997</v>
      </c>
      <c r="G9" s="2">
        <v>6.6524000000000001</v>
      </c>
      <c r="H9" s="2">
        <v>8.1834000000000007</v>
      </c>
      <c r="I9" s="3">
        <v>9.1995000000000005</v>
      </c>
    </row>
    <row r="10" spans="1:9" s="21" customFormat="1" x14ac:dyDescent="0.3">
      <c r="A10" s="4" t="s">
        <v>17</v>
      </c>
      <c r="B10" s="1">
        <v>12.5335</v>
      </c>
      <c r="C10" s="2">
        <v>10.286899999999999</v>
      </c>
      <c r="D10" s="2">
        <v>10.230499999999999</v>
      </c>
      <c r="E10" s="2">
        <v>9.2394999999999996</v>
      </c>
      <c r="F10" s="2">
        <v>6.9</v>
      </c>
      <c r="G10" s="2">
        <v>7.5960000000000001</v>
      </c>
      <c r="H10" s="2">
        <v>9.2026000000000003</v>
      </c>
      <c r="I10" s="3">
        <v>10.735799999999999</v>
      </c>
    </row>
    <row r="11" spans="1:9" s="22" customFormat="1" ht="16.8" thickBot="1" x14ac:dyDescent="0.35">
      <c r="A11" s="5" t="s">
        <v>18</v>
      </c>
      <c r="B11" s="6">
        <v>14.352499999999999</v>
      </c>
      <c r="C11" s="7">
        <v>11.732100000000001</v>
      </c>
      <c r="D11" s="7">
        <v>11.703799999999999</v>
      </c>
      <c r="E11" s="7">
        <v>10.637700000000001</v>
      </c>
      <c r="F11" s="7">
        <v>7.8304</v>
      </c>
      <c r="G11" s="7">
        <v>8.7685999999999993</v>
      </c>
      <c r="H11" s="7">
        <v>10.5566</v>
      </c>
      <c r="I11" s="8">
        <v>12.035600000000001</v>
      </c>
    </row>
    <row r="12" spans="1:9" s="20" customFormat="1" x14ac:dyDescent="0.3">
      <c r="A12" s="11" t="s">
        <v>19</v>
      </c>
      <c r="B12" s="13" t="s">
        <v>2</v>
      </c>
      <c r="C12" s="14" t="s">
        <v>3</v>
      </c>
      <c r="D12" s="15" t="s">
        <v>4</v>
      </c>
      <c r="E12" s="16" t="s">
        <v>5</v>
      </c>
      <c r="F12" s="17" t="s">
        <v>6</v>
      </c>
      <c r="G12" s="18" t="s">
        <v>7</v>
      </c>
      <c r="H12" s="10" t="s">
        <v>8</v>
      </c>
      <c r="I12" s="9" t="s">
        <v>9</v>
      </c>
    </row>
    <row r="13" spans="1:9" s="21" customFormat="1" x14ac:dyDescent="0.3">
      <c r="A13" s="12"/>
      <c r="B13" s="1" t="s">
        <v>10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3" t="s">
        <v>10</v>
      </c>
    </row>
    <row r="14" spans="1:9" s="21" customFormat="1" x14ac:dyDescent="0.3">
      <c r="A14" s="4" t="s">
        <v>11</v>
      </c>
      <c r="B14" s="1">
        <v>0.91279999999999994</v>
      </c>
      <c r="C14" s="2">
        <v>0.85729999999999995</v>
      </c>
      <c r="D14" s="2">
        <v>0.91080000000000005</v>
      </c>
      <c r="E14" s="2">
        <v>0.97829999999999995</v>
      </c>
      <c r="F14" s="2">
        <v>0.85260000000000002</v>
      </c>
      <c r="G14" s="2">
        <v>1.0707</v>
      </c>
      <c r="H14" s="2">
        <v>0.88590000000000002</v>
      </c>
      <c r="I14" s="3">
        <v>0.81579999999999997</v>
      </c>
    </row>
    <row r="15" spans="1:9" s="21" customFormat="1" x14ac:dyDescent="0.3">
      <c r="A15" s="4" t="s">
        <v>12</v>
      </c>
      <c r="B15" s="1">
        <v>1.8153999999999999</v>
      </c>
      <c r="C15" s="2">
        <v>1.6047</v>
      </c>
      <c r="D15" s="2">
        <v>1.7661</v>
      </c>
      <c r="E15" s="2">
        <v>1.8011999999999999</v>
      </c>
      <c r="F15" s="2">
        <v>1.6632</v>
      </c>
      <c r="G15" s="2">
        <v>2.0476000000000001</v>
      </c>
      <c r="H15" s="2">
        <v>1.7199</v>
      </c>
      <c r="I15" s="3">
        <v>1.5798000000000001</v>
      </c>
    </row>
    <row r="16" spans="1:9" s="21" customFormat="1" x14ac:dyDescent="0.3">
      <c r="A16" s="4" t="s">
        <v>13</v>
      </c>
      <c r="B16" s="1">
        <v>2.7408000000000001</v>
      </c>
      <c r="C16" s="2">
        <v>2.3946000000000001</v>
      </c>
      <c r="D16" s="2">
        <v>2.5910000000000002</v>
      </c>
      <c r="E16" s="2">
        <v>2.6023000000000001</v>
      </c>
      <c r="F16" s="2">
        <v>2.4984000000000002</v>
      </c>
      <c r="G16" s="2">
        <v>2.9497</v>
      </c>
      <c r="H16" s="2">
        <v>2.5223</v>
      </c>
      <c r="I16" s="3">
        <v>2.3473000000000002</v>
      </c>
    </row>
    <row r="17" spans="1:9" s="21" customFormat="1" x14ac:dyDescent="0.3">
      <c r="A17" s="4" t="s">
        <v>14</v>
      </c>
      <c r="B17" s="1">
        <v>3.6798000000000002</v>
      </c>
      <c r="C17" s="2">
        <v>3.2682000000000002</v>
      </c>
      <c r="D17" s="2">
        <v>3.4891000000000001</v>
      </c>
      <c r="E17" s="2">
        <v>3.3018999999999998</v>
      </c>
      <c r="F17" s="2">
        <v>3.2023000000000001</v>
      </c>
      <c r="G17" s="2">
        <v>3.8664999999999998</v>
      </c>
      <c r="H17" s="2">
        <v>3.3138000000000001</v>
      </c>
      <c r="I17" s="3">
        <v>3.2418</v>
      </c>
    </row>
    <row r="18" spans="1:9" s="21" customFormat="1" x14ac:dyDescent="0.3">
      <c r="A18" s="4" t="s">
        <v>15</v>
      </c>
      <c r="B18" s="1">
        <v>4.5476000000000001</v>
      </c>
      <c r="C18" s="2">
        <v>4.0885999999999996</v>
      </c>
      <c r="D18" s="2">
        <v>4.3148999999999997</v>
      </c>
      <c r="E18" s="2">
        <v>3.9771999999999998</v>
      </c>
      <c r="F18" s="2">
        <v>3.931</v>
      </c>
      <c r="G18" s="2">
        <v>4.8216000000000001</v>
      </c>
      <c r="H18" s="2">
        <v>4.1395999999999997</v>
      </c>
      <c r="I18" s="3">
        <v>4.0919999999999996</v>
      </c>
    </row>
    <row r="19" spans="1:9" s="21" customFormat="1" x14ac:dyDescent="0.3">
      <c r="A19" s="4" t="s">
        <v>16</v>
      </c>
      <c r="B19" s="1">
        <v>5.48</v>
      </c>
      <c r="C19" s="2">
        <v>4.9268000000000001</v>
      </c>
      <c r="D19" s="2">
        <v>5.2096999999999998</v>
      </c>
      <c r="E19" s="2">
        <v>4.8632</v>
      </c>
      <c r="F19" s="2">
        <v>4.8007</v>
      </c>
      <c r="G19" s="2">
        <v>5.8486000000000002</v>
      </c>
      <c r="H19" s="2">
        <v>4.9653</v>
      </c>
      <c r="I19" s="3">
        <v>4.9500999999999999</v>
      </c>
    </row>
    <row r="20" spans="1:9" s="21" customFormat="1" x14ac:dyDescent="0.3">
      <c r="A20" s="4" t="s">
        <v>17</v>
      </c>
      <c r="B20" s="1">
        <v>6.2826000000000004</v>
      </c>
      <c r="C20" s="2">
        <v>5.6341000000000001</v>
      </c>
      <c r="D20" s="2">
        <v>6.0326000000000004</v>
      </c>
      <c r="E20" s="2">
        <v>5.5762</v>
      </c>
      <c r="F20" s="2">
        <v>5.5292000000000003</v>
      </c>
      <c r="G20" s="2">
        <v>6.7868000000000004</v>
      </c>
      <c r="H20" s="2">
        <v>5.7599</v>
      </c>
      <c r="I20" s="3">
        <v>5.7782999999999998</v>
      </c>
    </row>
    <row r="21" spans="1:9" s="22" customFormat="1" ht="16.8" thickBot="1" x14ac:dyDescent="0.35">
      <c r="A21" s="5" t="s">
        <v>18</v>
      </c>
      <c r="B21" s="6">
        <v>7.1750999999999996</v>
      </c>
      <c r="C21" s="7">
        <v>6.4791999999999996</v>
      </c>
      <c r="D21" s="7">
        <v>6.9627999999999997</v>
      </c>
      <c r="E21" s="7">
        <v>6.4501999999999997</v>
      </c>
      <c r="F21" s="7">
        <v>6.4286000000000003</v>
      </c>
      <c r="G21" s="7">
        <v>7.7222</v>
      </c>
      <c r="H21" s="7">
        <v>6.5587999999999997</v>
      </c>
      <c r="I21" s="8">
        <v>6.5723000000000003</v>
      </c>
    </row>
    <row r="22" spans="1:9" s="20" customFormat="1" x14ac:dyDescent="0.3">
      <c r="A22" s="11" t="s">
        <v>20</v>
      </c>
      <c r="B22" s="13" t="s">
        <v>2</v>
      </c>
      <c r="C22" s="14" t="s">
        <v>3</v>
      </c>
      <c r="D22" s="15" t="s">
        <v>4</v>
      </c>
      <c r="E22" s="16" t="s">
        <v>5</v>
      </c>
      <c r="F22" s="17" t="s">
        <v>6</v>
      </c>
      <c r="G22" s="18" t="s">
        <v>7</v>
      </c>
      <c r="H22" s="10" t="s">
        <v>8</v>
      </c>
      <c r="I22" s="9" t="s">
        <v>9</v>
      </c>
    </row>
    <row r="23" spans="1:9" s="21" customFormat="1" x14ac:dyDescent="0.3">
      <c r="A23" s="12"/>
      <c r="B23" s="1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3" t="s">
        <v>10</v>
      </c>
    </row>
    <row r="24" spans="1:9" s="21" customFormat="1" x14ac:dyDescent="0.3">
      <c r="A24" s="4" t="s">
        <v>11</v>
      </c>
      <c r="B24" s="1">
        <v>0.49070000000000003</v>
      </c>
      <c r="C24" s="2">
        <v>0.47370000000000001</v>
      </c>
      <c r="D24" s="2">
        <v>0.49640000000000001</v>
      </c>
      <c r="E24" s="2">
        <v>0.54959999999999998</v>
      </c>
      <c r="F24" s="2">
        <v>0.37469999999999998</v>
      </c>
      <c r="G24" s="2">
        <v>0.51380000000000003</v>
      </c>
      <c r="H24" s="2">
        <v>0.43659999999999999</v>
      </c>
      <c r="I24" s="3">
        <v>0.4123</v>
      </c>
    </row>
    <row r="25" spans="1:9" s="21" customFormat="1" x14ac:dyDescent="0.3">
      <c r="A25" s="4" t="s">
        <v>12</v>
      </c>
      <c r="B25" s="1">
        <v>0.93959999999999999</v>
      </c>
      <c r="C25" s="2">
        <v>0.85370000000000001</v>
      </c>
      <c r="D25" s="2">
        <v>0.91090000000000004</v>
      </c>
      <c r="E25" s="2">
        <v>1.0007999999999999</v>
      </c>
      <c r="F25" s="2">
        <v>0.7702</v>
      </c>
      <c r="G25" s="2">
        <v>0.9637</v>
      </c>
      <c r="H25" s="2">
        <v>0.85709999999999997</v>
      </c>
      <c r="I25" s="3">
        <v>0.77900000000000003</v>
      </c>
    </row>
    <row r="26" spans="1:9" s="21" customFormat="1" x14ac:dyDescent="0.3">
      <c r="A26" s="4" t="s">
        <v>13</v>
      </c>
      <c r="B26" s="1">
        <v>1.4071</v>
      </c>
      <c r="C26" s="2">
        <v>1.2744</v>
      </c>
      <c r="D26" s="2">
        <v>1.3507</v>
      </c>
      <c r="E26" s="2">
        <v>1.4612000000000001</v>
      </c>
      <c r="F26" s="2">
        <v>1.1161000000000001</v>
      </c>
      <c r="G26" s="2">
        <v>1.4245000000000001</v>
      </c>
      <c r="H26" s="2">
        <v>1.2843</v>
      </c>
      <c r="I26" s="3">
        <v>1.1627000000000001</v>
      </c>
    </row>
    <row r="27" spans="1:9" s="21" customFormat="1" x14ac:dyDescent="0.3">
      <c r="A27" s="4" t="s">
        <v>14</v>
      </c>
      <c r="B27" s="1">
        <v>1.8502000000000001</v>
      </c>
      <c r="C27" s="2">
        <v>1.6385000000000001</v>
      </c>
      <c r="D27" s="2">
        <v>1.7786999999999999</v>
      </c>
      <c r="E27" s="2">
        <v>1.9161999999999999</v>
      </c>
      <c r="F27" s="2">
        <v>1.3853</v>
      </c>
      <c r="G27" s="2">
        <v>1.7715000000000001</v>
      </c>
      <c r="H27" s="2">
        <v>1.7134</v>
      </c>
      <c r="I27" s="3">
        <v>1.5730999999999999</v>
      </c>
    </row>
    <row r="28" spans="1:9" s="21" customFormat="1" x14ac:dyDescent="0.3">
      <c r="A28" s="4" t="s">
        <v>15</v>
      </c>
      <c r="B28" s="1">
        <v>2.3094999999999999</v>
      </c>
      <c r="C28" s="2">
        <v>2.0655999999999999</v>
      </c>
      <c r="D28" s="2">
        <v>2.1855000000000002</v>
      </c>
      <c r="E28" s="2">
        <v>2.3111000000000002</v>
      </c>
      <c r="F28" s="2">
        <v>1.7101</v>
      </c>
      <c r="G28" s="2">
        <v>2.1684999999999999</v>
      </c>
      <c r="H28" s="2">
        <v>2.1034999999999999</v>
      </c>
      <c r="I28" s="3">
        <v>1.9871000000000001</v>
      </c>
    </row>
    <row r="29" spans="1:9" s="21" customFormat="1" x14ac:dyDescent="0.3">
      <c r="A29" s="4" t="s">
        <v>16</v>
      </c>
      <c r="B29" s="1">
        <v>2.7717000000000001</v>
      </c>
      <c r="C29" s="2">
        <v>2.5129000000000001</v>
      </c>
      <c r="D29" s="2">
        <v>2.6351</v>
      </c>
      <c r="E29" s="2">
        <v>2.7532000000000001</v>
      </c>
      <c r="F29" s="2">
        <v>2.0581999999999998</v>
      </c>
      <c r="G29" s="2">
        <v>2.5981999999999998</v>
      </c>
      <c r="H29" s="2">
        <v>2.5179999999999998</v>
      </c>
      <c r="I29" s="3">
        <v>2.3559999999999999</v>
      </c>
    </row>
    <row r="30" spans="1:9" s="21" customFormat="1" x14ac:dyDescent="0.3">
      <c r="A30" s="4" t="s">
        <v>17</v>
      </c>
      <c r="B30" s="1">
        <v>3.2069000000000001</v>
      </c>
      <c r="C30" s="2">
        <v>2.9209000000000001</v>
      </c>
      <c r="D30" s="2">
        <v>3.0627</v>
      </c>
      <c r="E30" s="2">
        <v>3.1663999999999999</v>
      </c>
      <c r="F30" s="2">
        <v>2.3824000000000001</v>
      </c>
      <c r="G30" s="2">
        <v>3.0226000000000002</v>
      </c>
      <c r="H30" s="2">
        <v>2.9058000000000002</v>
      </c>
      <c r="I30" s="3">
        <v>2.7545000000000002</v>
      </c>
    </row>
    <row r="31" spans="1:9" s="22" customFormat="1" ht="16.8" thickBot="1" x14ac:dyDescent="0.35">
      <c r="A31" s="5" t="s">
        <v>18</v>
      </c>
      <c r="B31" s="6">
        <v>3.7099000000000002</v>
      </c>
      <c r="C31" s="7">
        <v>3.3445999999999998</v>
      </c>
      <c r="D31" s="7">
        <v>3.5396000000000001</v>
      </c>
      <c r="E31" s="7">
        <v>3.6627000000000001</v>
      </c>
      <c r="F31" s="7">
        <v>2.7854999999999999</v>
      </c>
      <c r="G31" s="7">
        <v>3.4807999999999999</v>
      </c>
      <c r="H31" s="7">
        <v>3.3782999999999999</v>
      </c>
      <c r="I31" s="8">
        <v>3.1604000000000001</v>
      </c>
    </row>
    <row r="32" spans="1:9" s="20" customFormat="1" x14ac:dyDescent="0.3">
      <c r="A32" s="11" t="s">
        <v>21</v>
      </c>
      <c r="B32" s="13" t="s">
        <v>2</v>
      </c>
      <c r="C32" s="14" t="s">
        <v>3</v>
      </c>
      <c r="D32" s="15" t="s">
        <v>4</v>
      </c>
      <c r="E32" s="16" t="s">
        <v>5</v>
      </c>
      <c r="F32" s="17" t="s">
        <v>6</v>
      </c>
      <c r="G32" s="18" t="s">
        <v>7</v>
      </c>
      <c r="H32" s="10" t="s">
        <v>8</v>
      </c>
      <c r="I32" s="9" t="s">
        <v>9</v>
      </c>
    </row>
    <row r="33" spans="1:9" s="21" customFormat="1" x14ac:dyDescent="0.3">
      <c r="A33" s="12"/>
      <c r="B33" s="1" t="s">
        <v>10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3" t="s">
        <v>10</v>
      </c>
    </row>
    <row r="34" spans="1:9" s="21" customFormat="1" x14ac:dyDescent="0.3">
      <c r="A34" s="4" t="s">
        <v>11</v>
      </c>
      <c r="B34" s="1">
        <v>0.7036</v>
      </c>
      <c r="C34" s="2">
        <v>0.71750000000000003</v>
      </c>
      <c r="D34" s="2">
        <v>0.68220000000000003</v>
      </c>
      <c r="E34" s="2">
        <v>0.75800000000000001</v>
      </c>
      <c r="F34" s="2">
        <v>0.66649999999999998</v>
      </c>
      <c r="G34" s="2">
        <v>0.83699999999999997</v>
      </c>
      <c r="H34" s="2">
        <v>0.80210000000000004</v>
      </c>
      <c r="I34" s="3">
        <v>0.74829999999999997</v>
      </c>
    </row>
    <row r="35" spans="1:9" s="21" customFormat="1" x14ac:dyDescent="0.3">
      <c r="A35" s="4" t="s">
        <v>12</v>
      </c>
      <c r="B35" s="1">
        <v>1.3384</v>
      </c>
      <c r="C35" s="2">
        <v>1.3667</v>
      </c>
      <c r="D35" s="2">
        <v>1.3380000000000001</v>
      </c>
      <c r="E35" s="2">
        <v>1.5047999999999999</v>
      </c>
      <c r="F35" s="2">
        <v>1.3025</v>
      </c>
      <c r="G35" s="2">
        <v>1.6603000000000001</v>
      </c>
      <c r="H35" s="2">
        <v>1.5294000000000001</v>
      </c>
      <c r="I35" s="3">
        <v>1.4433</v>
      </c>
    </row>
    <row r="36" spans="1:9" s="21" customFormat="1" x14ac:dyDescent="0.3">
      <c r="A36" s="4" t="s">
        <v>13</v>
      </c>
      <c r="B36" s="1">
        <v>1.9601</v>
      </c>
      <c r="C36" s="2">
        <v>2.1065</v>
      </c>
      <c r="D36" s="2">
        <v>1.9984999999999999</v>
      </c>
      <c r="E36" s="2">
        <v>2.2385999999999999</v>
      </c>
      <c r="F36" s="2">
        <v>1.9718</v>
      </c>
      <c r="G36" s="2">
        <v>2.4493999999999998</v>
      </c>
      <c r="H36" s="2">
        <v>2.2864</v>
      </c>
      <c r="I36" s="3">
        <v>2.1728999999999998</v>
      </c>
    </row>
    <row r="37" spans="1:9" s="21" customFormat="1" x14ac:dyDescent="0.3">
      <c r="A37" s="4" t="s">
        <v>14</v>
      </c>
      <c r="B37" s="1">
        <v>2.6164999999999998</v>
      </c>
      <c r="C37" s="2">
        <v>2.8233000000000001</v>
      </c>
      <c r="D37" s="2">
        <v>2.6291000000000002</v>
      </c>
      <c r="E37" s="2">
        <v>2.9157000000000002</v>
      </c>
      <c r="F37" s="2">
        <v>2.5886</v>
      </c>
      <c r="G37" s="2">
        <v>3.2576000000000001</v>
      </c>
      <c r="H37" s="2">
        <v>3.0091999999999999</v>
      </c>
      <c r="I37" s="3">
        <v>2.9342999999999999</v>
      </c>
    </row>
    <row r="38" spans="1:9" s="21" customFormat="1" x14ac:dyDescent="0.3">
      <c r="A38" s="4" t="s">
        <v>15</v>
      </c>
      <c r="B38" s="1">
        <v>3.2911000000000001</v>
      </c>
      <c r="C38" s="2">
        <v>3.5428000000000002</v>
      </c>
      <c r="D38" s="2">
        <v>3.2568999999999999</v>
      </c>
      <c r="E38" s="2">
        <v>3.6444999999999999</v>
      </c>
      <c r="F38" s="2">
        <v>3.2046999999999999</v>
      </c>
      <c r="G38" s="2">
        <v>4.0861000000000001</v>
      </c>
      <c r="H38" s="2">
        <v>3.7362000000000002</v>
      </c>
      <c r="I38" s="3">
        <v>3.6728999999999998</v>
      </c>
    </row>
    <row r="39" spans="1:9" s="21" customFormat="1" x14ac:dyDescent="0.3">
      <c r="A39" s="4" t="s">
        <v>16</v>
      </c>
      <c r="B39" s="1">
        <v>3.9943</v>
      </c>
      <c r="C39" s="2">
        <v>4.2393000000000001</v>
      </c>
      <c r="D39" s="2">
        <v>3.8961999999999999</v>
      </c>
      <c r="E39" s="2">
        <v>4.4200999999999997</v>
      </c>
      <c r="F39" s="2">
        <v>3.8675999999999999</v>
      </c>
      <c r="G39" s="2">
        <v>4.9604999999999997</v>
      </c>
      <c r="H39" s="2">
        <v>4.4718</v>
      </c>
      <c r="I39" s="3">
        <v>4.4161999999999999</v>
      </c>
    </row>
    <row r="40" spans="1:9" s="21" customFormat="1" x14ac:dyDescent="0.3">
      <c r="A40" s="4" t="s">
        <v>17</v>
      </c>
      <c r="B40" s="1">
        <v>4.6424000000000003</v>
      </c>
      <c r="C40" s="2">
        <v>4.9566999999999997</v>
      </c>
      <c r="D40" s="2">
        <v>4.5212000000000003</v>
      </c>
      <c r="E40" s="2">
        <v>5.1276999999999999</v>
      </c>
      <c r="F40" s="2">
        <v>4.4866999999999999</v>
      </c>
      <c r="G40" s="2">
        <v>5.7687999999999997</v>
      </c>
      <c r="H40" s="2">
        <v>5.2077999999999998</v>
      </c>
      <c r="I40" s="3">
        <v>5.1550000000000002</v>
      </c>
    </row>
    <row r="41" spans="1:9" s="22" customFormat="1" ht="16.8" thickBot="1" x14ac:dyDescent="0.35">
      <c r="A41" s="5" t="s">
        <v>18</v>
      </c>
      <c r="B41" s="6">
        <v>5.3484999999999996</v>
      </c>
      <c r="C41" s="7">
        <v>5.6791999999999998</v>
      </c>
      <c r="D41" s="7">
        <v>5.2213000000000003</v>
      </c>
      <c r="E41" s="7">
        <v>5.9401000000000002</v>
      </c>
      <c r="F41" s="7">
        <v>5.1561000000000003</v>
      </c>
      <c r="G41" s="7">
        <v>6.6281999999999996</v>
      </c>
      <c r="H41" s="7">
        <v>5.9717000000000002</v>
      </c>
      <c r="I41" s="8">
        <v>5.8703000000000003</v>
      </c>
    </row>
    <row r="42" spans="1:9" x14ac:dyDescent="0.3">
      <c r="A42" s="28"/>
      <c r="B42" s="26"/>
      <c r="C42" s="23"/>
      <c r="D42" s="23"/>
      <c r="E42" s="23"/>
      <c r="F42" s="23"/>
      <c r="G42" s="23"/>
      <c r="H42" s="23"/>
      <c r="I42" s="24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A6B3-AEDC-4F81-AEC8-0400689916DE}">
  <dimension ref="A1:Y52"/>
  <sheetViews>
    <sheetView tabSelected="1" zoomScale="50" zoomScaleNormal="50" workbookViewId="0">
      <selection activeCell="V6" sqref="V6"/>
    </sheetView>
  </sheetViews>
  <sheetFormatPr defaultColWidth="15.77734375" defaultRowHeight="16.2" x14ac:dyDescent="0.3"/>
  <cols>
    <col min="1" max="1" width="15.77734375" style="43"/>
    <col min="2" max="2" width="15.77734375" style="31"/>
    <col min="3" max="16384" width="15.77734375" style="43"/>
  </cols>
  <sheetData>
    <row r="1" spans="1:25" x14ac:dyDescent="0.3">
      <c r="A1" s="37" t="s">
        <v>24</v>
      </c>
      <c r="B1" s="37"/>
      <c r="C1" s="37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5" x14ac:dyDescent="0.3">
      <c r="A2" s="54" t="s">
        <v>53</v>
      </c>
      <c r="B2" s="55"/>
    </row>
    <row r="3" spans="1:25" x14ac:dyDescent="0.3">
      <c r="A3" s="87" t="s">
        <v>25</v>
      </c>
      <c r="B3" s="85" t="s">
        <v>23</v>
      </c>
      <c r="C3" s="85"/>
      <c r="D3" s="85"/>
      <c r="E3" s="85"/>
      <c r="F3" s="86" t="s">
        <v>41</v>
      </c>
      <c r="G3" s="86"/>
      <c r="H3" s="86"/>
      <c r="I3" s="86"/>
      <c r="J3" s="89" t="s">
        <v>44</v>
      </c>
      <c r="K3" s="90"/>
      <c r="L3" s="90"/>
      <c r="M3" s="91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spans="1:25" x14ac:dyDescent="0.3">
      <c r="A4" s="87"/>
      <c r="B4" s="85" t="s">
        <v>42</v>
      </c>
      <c r="C4" s="85" t="s">
        <v>35</v>
      </c>
      <c r="D4" s="85" t="s">
        <v>36</v>
      </c>
      <c r="E4" s="85" t="s">
        <v>37</v>
      </c>
      <c r="F4" s="86" t="s">
        <v>43</v>
      </c>
      <c r="G4" s="86" t="s">
        <v>38</v>
      </c>
      <c r="H4" s="86" t="s">
        <v>39</v>
      </c>
      <c r="I4" s="86" t="s">
        <v>40</v>
      </c>
      <c r="J4" s="40" t="s">
        <v>45</v>
      </c>
      <c r="K4" s="40" t="s">
        <v>46</v>
      </c>
      <c r="L4" s="40" t="s">
        <v>47</v>
      </c>
      <c r="M4" s="40" t="s">
        <v>48</v>
      </c>
      <c r="N4" s="40" t="s">
        <v>45</v>
      </c>
      <c r="O4" s="40" t="s">
        <v>46</v>
      </c>
      <c r="P4" s="40" t="s">
        <v>47</v>
      </c>
      <c r="Q4" s="40" t="s">
        <v>48</v>
      </c>
      <c r="R4" s="40" t="s">
        <v>45</v>
      </c>
      <c r="S4" s="40" t="s">
        <v>46</v>
      </c>
      <c r="T4" s="40" t="s">
        <v>47</v>
      </c>
      <c r="U4" s="40" t="s">
        <v>48</v>
      </c>
      <c r="V4" s="40" t="s">
        <v>45</v>
      </c>
      <c r="W4" s="40" t="s">
        <v>46</v>
      </c>
      <c r="X4" s="40" t="s">
        <v>47</v>
      </c>
      <c r="Y4" s="40" t="s">
        <v>48</v>
      </c>
    </row>
    <row r="5" spans="1:25" x14ac:dyDescent="0.3">
      <c r="A5" s="87"/>
      <c r="B5" s="85"/>
      <c r="C5" s="85"/>
      <c r="D5" s="85"/>
      <c r="E5" s="85"/>
      <c r="F5" s="86"/>
      <c r="G5" s="86"/>
      <c r="H5" s="86"/>
      <c r="I5" s="86"/>
      <c r="J5" s="81" t="s">
        <v>52</v>
      </c>
      <c r="K5" s="81"/>
      <c r="L5" s="81"/>
      <c r="M5" s="81"/>
      <c r="N5" s="81" t="s">
        <v>49</v>
      </c>
      <c r="O5" s="81"/>
      <c r="P5" s="81"/>
      <c r="Q5" s="81"/>
      <c r="R5" s="81" t="s">
        <v>50</v>
      </c>
      <c r="S5" s="81"/>
      <c r="T5" s="81"/>
      <c r="U5" s="81"/>
      <c r="V5" s="81" t="s">
        <v>51</v>
      </c>
      <c r="W5" s="81"/>
      <c r="X5" s="81"/>
      <c r="Y5" s="81"/>
    </row>
    <row r="6" spans="1:25" x14ac:dyDescent="0.3">
      <c r="A6" s="56" t="s">
        <v>26</v>
      </c>
      <c r="B6" s="44">
        <v>59.764880952380942</v>
      </c>
      <c r="C6" s="44">
        <v>55.092261904761919</v>
      </c>
      <c r="D6" s="44">
        <v>55.092261904761919</v>
      </c>
      <c r="E6" s="44">
        <v>55.092261904761919</v>
      </c>
      <c r="F6" s="48">
        <v>55.092261904761919</v>
      </c>
      <c r="G6" s="48">
        <v>60.107142857142854</v>
      </c>
      <c r="H6" s="48">
        <v>59.702357142857146</v>
      </c>
      <c r="I6" s="48">
        <v>62.333357142857139</v>
      </c>
      <c r="J6" s="52">
        <v>59.041667857142855</v>
      </c>
      <c r="K6" s="52">
        <v>75.732153571428583</v>
      </c>
      <c r="L6" s="52">
        <v>85.553571428571445</v>
      </c>
      <c r="M6" s="52">
        <v>95.083321428571409</v>
      </c>
      <c r="N6" s="52">
        <v>93.504007142857162</v>
      </c>
      <c r="O6" s="52">
        <v>96.11710476190477</v>
      </c>
      <c r="P6" s="52">
        <v>97.759916666666683</v>
      </c>
      <c r="Q6" s="52">
        <v>97.400800000000018</v>
      </c>
      <c r="R6" s="52">
        <v>86.690475000000006</v>
      </c>
      <c r="S6" s="52">
        <v>94.936505952380926</v>
      </c>
      <c r="T6" s="52">
        <v>96.394839285714284</v>
      </c>
      <c r="U6" s="52">
        <v>89.936507142857167</v>
      </c>
      <c r="V6" s="52">
        <v>58.404757142857143</v>
      </c>
      <c r="W6" s="52">
        <v>75.27381428571428</v>
      </c>
      <c r="X6" s="52">
        <v>84.625003571428564</v>
      </c>
      <c r="Y6" s="52">
        <v>94.244046428571423</v>
      </c>
    </row>
    <row r="7" spans="1:25" s="36" customFormat="1" x14ac:dyDescent="0.3">
      <c r="A7" s="35"/>
      <c r="B7" s="45"/>
      <c r="C7" s="45"/>
      <c r="D7" s="45"/>
      <c r="E7" s="45"/>
      <c r="F7" s="49"/>
      <c r="G7" s="49"/>
      <c r="H7" s="49"/>
      <c r="I7" s="49"/>
      <c r="J7" s="53">
        <f>(J6-F6)/F6</f>
        <v>7.1687126573388466E-2</v>
      </c>
      <c r="K7" s="53">
        <f>(K6-G6)/G6</f>
        <v>0.25995264408793844</v>
      </c>
      <c r="L7" s="53">
        <f>(L6-H6)/H6</f>
        <v>0.43300156849514215</v>
      </c>
      <c r="M7" s="53">
        <f>(M6-I6)/I6</f>
        <v>0.52540029587460024</v>
      </c>
      <c r="N7" s="53">
        <f>(N6-F6)/F6*100</f>
        <v>69.722577926638209</v>
      </c>
      <c r="O7" s="53">
        <f t="shared" ref="O7:Q7" si="0">(O6-G6)/G6*100</f>
        <v>59.909621707268791</v>
      </c>
      <c r="P7" s="53">
        <f t="shared" si="0"/>
        <v>63.745489031102323</v>
      </c>
      <c r="Q7" s="53">
        <f t="shared" si="0"/>
        <v>56.257908228453736</v>
      </c>
      <c r="R7" s="53">
        <f>(R6-F6)/F6*100</f>
        <v>57.355084004105642</v>
      </c>
      <c r="S7" s="53">
        <f t="shared" ref="S7:T7" si="1">(S6-G6)/G6*100</f>
        <v>57.945464448405595</v>
      </c>
      <c r="T7" s="53">
        <f t="shared" si="1"/>
        <v>61.459017531013963</v>
      </c>
      <c r="U7" s="53">
        <f>(U6-I6)/I6*100</f>
        <v>44.283111427382998</v>
      </c>
      <c r="V7" s="93">
        <f>(V6-F6)/F6</f>
        <v>6.012632488790421E-2</v>
      </c>
      <c r="W7" s="93">
        <f>(W6-G6)/G6</f>
        <v>0.25232727272727268</v>
      </c>
      <c r="X7" s="93">
        <f>(X6-H6)/H6</f>
        <v>0.41744828213291391</v>
      </c>
      <c r="Y7" s="93">
        <f>(Y6-I6)/I6</f>
        <v>0.51193599620473784</v>
      </c>
    </row>
    <row r="8" spans="1:25" x14ac:dyDescent="0.3">
      <c r="A8" s="56" t="s">
        <v>27</v>
      </c>
      <c r="B8" s="44">
        <v>56.30654761904762</v>
      </c>
      <c r="C8" s="44">
        <v>55.000000000000007</v>
      </c>
      <c r="D8" s="44">
        <v>55.000000000000007</v>
      </c>
      <c r="E8" s="44">
        <v>55.000000000000007</v>
      </c>
      <c r="F8" s="48">
        <v>55.000000000000007</v>
      </c>
      <c r="G8" s="48">
        <v>60.601178571428576</v>
      </c>
      <c r="H8" s="48">
        <v>62.827285714285722</v>
      </c>
      <c r="I8" s="48">
        <v>63.869035714285708</v>
      </c>
      <c r="J8" s="52">
        <v>97.374996428571436</v>
      </c>
      <c r="K8" s="52">
        <v>94.357149999999976</v>
      </c>
      <c r="L8" s="52">
        <v>74.511910714285705</v>
      </c>
      <c r="M8" s="52">
        <v>93.875007142857143</v>
      </c>
      <c r="N8" s="52">
        <v>93.279763095238096</v>
      </c>
      <c r="O8" s="52">
        <v>99.103167857142864</v>
      </c>
      <c r="P8" s="52">
        <v>97.291660714285726</v>
      </c>
      <c r="Q8" s="52">
        <v>96.426561904761869</v>
      </c>
      <c r="R8" s="52">
        <v>98.684534523809518</v>
      </c>
      <c r="S8" s="52">
        <v>97.297031922398602</v>
      </c>
      <c r="T8" s="52">
        <v>98.632933333333312</v>
      </c>
      <c r="U8" s="52">
        <v>95.706348809523817</v>
      </c>
      <c r="V8" s="52">
        <v>97.080248148148144</v>
      </c>
      <c r="W8" s="52">
        <v>94.26190714285714</v>
      </c>
      <c r="X8" s="52">
        <v>74.024685185185191</v>
      </c>
      <c r="Y8" s="52">
        <v>93.709885185185215</v>
      </c>
    </row>
    <row r="9" spans="1:25" s="38" customFormat="1" x14ac:dyDescent="0.3">
      <c r="A9" s="35"/>
      <c r="B9" s="46"/>
      <c r="C9" s="46"/>
      <c r="D9" s="46"/>
      <c r="E9" s="46"/>
      <c r="F9" s="50"/>
      <c r="G9" s="50"/>
      <c r="H9" s="50"/>
      <c r="I9" s="50"/>
      <c r="J9" s="53">
        <f>(J8-F8)/F8</f>
        <v>0.7704544805194804</v>
      </c>
      <c r="K9" s="53">
        <f>(K8-G8)/G8</f>
        <v>0.55701839839277001</v>
      </c>
      <c r="L9" s="53">
        <f>(L8-H8)/H8</f>
        <v>0.18598010191204428</v>
      </c>
      <c r="M9" s="53">
        <f>(M8-I8)/I8</f>
        <v>0.4698046728433688</v>
      </c>
      <c r="N9" s="53">
        <f>(N8-F8)/F8*100</f>
        <v>69.599569264069245</v>
      </c>
      <c r="O9" s="53">
        <f t="shared" ref="O9" si="2">(O8-G8)/G8*100</f>
        <v>63.533400163716756</v>
      </c>
      <c r="P9" s="53">
        <f t="shared" ref="P9" si="3">(P8-H8)/H8*100</f>
        <v>54.855743978389739</v>
      </c>
      <c r="Q9" s="53">
        <f t="shared" ref="Q9" si="4">(Q8-I8)/I8*100</f>
        <v>50.975446593745829</v>
      </c>
      <c r="R9" s="53">
        <f>(R8-F8)/F8*100</f>
        <v>79.426426406926382</v>
      </c>
      <c r="S9" s="53">
        <f t="shared" ref="S9" si="5">(S8-G8)/G8*100</f>
        <v>60.553035792394461</v>
      </c>
      <c r="T9" s="53">
        <f t="shared" ref="T9" si="6">(T8-H8)/H8*100</f>
        <v>56.990600838428506</v>
      </c>
      <c r="U9" s="53">
        <f>(U8-I8)/I8*100</f>
        <v>49.84780612261067</v>
      </c>
      <c r="V9" s="93">
        <f>(V8-F8)/F8</f>
        <v>0.7650954208754206</v>
      </c>
      <c r="W9" s="93">
        <f>(W8-G8)/G8</f>
        <v>0.55544676464920217</v>
      </c>
      <c r="X9" s="93">
        <f>(X8-H8)/H8</f>
        <v>0.17822510305189573</v>
      </c>
      <c r="Y9" s="93">
        <f>(Y8-I8)/I8</f>
        <v>0.46721935186857605</v>
      </c>
    </row>
    <row r="10" spans="1:25" x14ac:dyDescent="0.3">
      <c r="A10" s="56" t="s">
        <v>28</v>
      </c>
      <c r="B10" s="44">
        <v>60.75297619047619</v>
      </c>
      <c r="C10" s="44">
        <v>52.907738095238102</v>
      </c>
      <c r="D10" s="44">
        <v>52.907738095238102</v>
      </c>
      <c r="E10" s="44">
        <v>52.907738095238102</v>
      </c>
      <c r="F10" s="48">
        <v>52.907738095238102</v>
      </c>
      <c r="G10" s="48">
        <v>61.773714285714284</v>
      </c>
      <c r="H10" s="48">
        <v>62.619107142857139</v>
      </c>
      <c r="I10" s="48">
        <v>68.01178571428575</v>
      </c>
      <c r="J10" s="52">
        <v>98.273803571428587</v>
      </c>
      <c r="K10" s="52">
        <v>99.60119642857147</v>
      </c>
      <c r="L10" s="52">
        <v>99.505953571428563</v>
      </c>
      <c r="M10" s="52">
        <v>98.857146428571426</v>
      </c>
      <c r="N10" s="52">
        <v>99.35513095238089</v>
      </c>
      <c r="O10" s="52">
        <v>100</v>
      </c>
      <c r="P10" s="52">
        <v>99.365052380952349</v>
      </c>
      <c r="Q10" s="52">
        <v>99.547627380952392</v>
      </c>
      <c r="R10" s="52">
        <v>99.59524761904764</v>
      </c>
      <c r="S10" s="52">
        <v>99.819433333333322</v>
      </c>
      <c r="T10" s="52">
        <v>99.424610714285734</v>
      </c>
      <c r="U10" s="52">
        <v>99.567470238095268</v>
      </c>
      <c r="V10" s="52">
        <v>98.226196428571455</v>
      </c>
      <c r="W10" s="52">
        <v>99.565482142857149</v>
      </c>
      <c r="X10" s="52">
        <v>99.5</v>
      </c>
      <c r="Y10" s="52">
        <v>98.654767857142843</v>
      </c>
    </row>
    <row r="11" spans="1:25" s="36" customFormat="1" x14ac:dyDescent="0.3">
      <c r="A11" s="35"/>
      <c r="B11" s="45"/>
      <c r="C11" s="45"/>
      <c r="D11" s="45"/>
      <c r="E11" s="45"/>
      <c r="F11" s="49"/>
      <c r="G11" s="49"/>
      <c r="H11" s="49"/>
      <c r="I11" s="49"/>
      <c r="J11" s="53">
        <f>(J10-F10)/F10</f>
        <v>0.85745615120661534</v>
      </c>
      <c r="K11" s="53">
        <f>(K10-G10)/G10</f>
        <v>0.61235563670169535</v>
      </c>
      <c r="L11" s="53">
        <f>(L10-H10)/H10</f>
        <v>0.58906694955613159</v>
      </c>
      <c r="M11" s="53">
        <f>(M10-I10)/I10</f>
        <v>0.45352964034594762</v>
      </c>
      <c r="N11" s="53">
        <f>(N10-F10)/F10*100</f>
        <v>87.789413286831149</v>
      </c>
      <c r="O11" s="53">
        <f t="shared" ref="O11" si="7">(O10-G10)/G10*100</f>
        <v>61.881151483756391</v>
      </c>
      <c r="P11" s="53">
        <f t="shared" ref="P11" si="8">(P10-H10)/H10*100</f>
        <v>58.681681861519095</v>
      </c>
      <c r="Q11" s="53">
        <f t="shared" ref="Q11" si="9">(Q10-I10)/I10*100</f>
        <v>46.368201239631027</v>
      </c>
      <c r="R11" s="53">
        <f>(R10-F10)/F10*100</f>
        <v>88.243253642346858</v>
      </c>
      <c r="S11" s="53">
        <f t="shared" ref="S11" si="10">(S10-G10)/G10*100</f>
        <v>61.588848084560532</v>
      </c>
      <c r="T11" s="53">
        <f t="shared" ref="T11" si="11">(T10-H10)/H10*100</f>
        <v>58.776793938408844</v>
      </c>
      <c r="U11" s="53">
        <f>(U10-I10)/I10*100</f>
        <v>46.397376855201884</v>
      </c>
      <c r="V11" s="93">
        <f>(V10-F10)/F10</f>
        <v>0.85655633683973698</v>
      </c>
      <c r="W11" s="93">
        <f>(W10-G10)/G10</f>
        <v>0.61177748973210999</v>
      </c>
      <c r="X11" s="93">
        <f>(X10-H10)/H10</f>
        <v>0.58897187360088066</v>
      </c>
      <c r="Y11" s="93">
        <f>(Y10-I10)/I10</f>
        <v>0.45055400061963952</v>
      </c>
    </row>
    <row r="12" spans="1:25" x14ac:dyDescent="0.3">
      <c r="A12" s="56" t="s">
        <v>29</v>
      </c>
      <c r="B12" s="44">
        <v>66.18452380952381</v>
      </c>
      <c r="C12" s="44">
        <v>53.291666666666671</v>
      </c>
      <c r="D12" s="44">
        <v>53.291666666666671</v>
      </c>
      <c r="E12" s="44">
        <v>53.291666666666671</v>
      </c>
      <c r="F12" s="48">
        <v>53.291666666666671</v>
      </c>
      <c r="G12" s="48">
        <v>57.267857142857146</v>
      </c>
      <c r="H12" s="48">
        <v>60.470285714285716</v>
      </c>
      <c r="I12" s="48">
        <v>65.428642857142847</v>
      </c>
      <c r="J12" s="52">
        <v>60.494050000000001</v>
      </c>
      <c r="K12" s="52">
        <v>87.178575000000009</v>
      </c>
      <c r="L12" s="52">
        <v>89.172621428571446</v>
      </c>
      <c r="M12" s="52">
        <v>78.202382142857132</v>
      </c>
      <c r="N12" s="52">
        <v>92.494046428571437</v>
      </c>
      <c r="O12" s="52">
        <v>98.142853571428574</v>
      </c>
      <c r="P12" s="52">
        <v>93.291666666666671</v>
      </c>
      <c r="Q12" s="52">
        <v>89.849208333333351</v>
      </c>
      <c r="R12" s="52">
        <v>98.166663095238093</v>
      </c>
      <c r="S12" s="52">
        <v>91.603171428571429</v>
      </c>
      <c r="T12" s="52">
        <v>90.101184523809522</v>
      </c>
      <c r="U12" s="52">
        <v>81.767860714285732</v>
      </c>
      <c r="V12" s="52">
        <v>60.214285714285715</v>
      </c>
      <c r="W12" s="52">
        <v>77.70833571428571</v>
      </c>
      <c r="X12" s="52">
        <v>88.589278571428579</v>
      </c>
      <c r="Y12" s="52">
        <v>77.70833571428571</v>
      </c>
    </row>
    <row r="13" spans="1:25" s="36" customFormat="1" x14ac:dyDescent="0.3">
      <c r="A13" s="35"/>
      <c r="B13" s="45"/>
      <c r="C13" s="45"/>
      <c r="D13" s="45"/>
      <c r="E13" s="45"/>
      <c r="F13" s="49"/>
      <c r="G13" s="49"/>
      <c r="H13" s="49"/>
      <c r="I13" s="49"/>
      <c r="J13" s="53">
        <f>(J12-F12)/F12</f>
        <v>0.13515027365129001</v>
      </c>
      <c r="K13" s="53">
        <f>(K12-G12)/G12</f>
        <v>0.52229504209541633</v>
      </c>
      <c r="L13" s="53">
        <f>(L12-H12)/H12</f>
        <v>0.47465189514566802</v>
      </c>
      <c r="M13" s="53">
        <f>(M12-I12)/I12</f>
        <v>0.1952316100091594</v>
      </c>
      <c r="N13" s="53">
        <f>(N12-F12)/F12*100</f>
        <v>73.561932313191107</v>
      </c>
      <c r="O13" s="53">
        <f t="shared" ref="O13" si="12">(O12-G12)/G12*100</f>
        <v>71.375110695353911</v>
      </c>
      <c r="P13" s="53">
        <f t="shared" ref="P13" si="13">(P12-H12)/H12*100</f>
        <v>54.276874277488517</v>
      </c>
      <c r="Q13" s="53">
        <f t="shared" ref="Q13" si="14">(Q12-I12)/I12*100</f>
        <v>37.323967623033937</v>
      </c>
      <c r="R13" s="53">
        <f>(R12-F12)/F12*100</f>
        <v>84.206404557131663</v>
      </c>
      <c r="S13" s="53">
        <f t="shared" ref="S13" si="15">(S12-G12)/G12*100</f>
        <v>59.955647022139061</v>
      </c>
      <c r="T13" s="53">
        <f t="shared" ref="T13" si="16">(T12-H12)/H12*100</f>
        <v>49.000758735498579</v>
      </c>
      <c r="U13" s="53">
        <f>(U12-I12)/I12*100</f>
        <v>24.972576449152392</v>
      </c>
      <c r="V13" s="93">
        <f>(V12-F12)/F12</f>
        <v>0.12990059198034171</v>
      </c>
      <c r="W13" s="93">
        <f>(W12-G12)/G12</f>
        <v>0.35692759588400358</v>
      </c>
      <c r="X13" s="93">
        <f>(X12-H12)/H12</f>
        <v>0.46500512648479075</v>
      </c>
      <c r="Y13" s="93">
        <f>(Y12-I12)/I12</f>
        <v>0.18768069030492335</v>
      </c>
    </row>
    <row r="14" spans="1:25" x14ac:dyDescent="0.3">
      <c r="A14" s="56" t="s">
        <v>30</v>
      </c>
      <c r="B14" s="44">
        <v>62.93154761904762</v>
      </c>
      <c r="C14" s="44">
        <v>55.288690476190482</v>
      </c>
      <c r="D14" s="44">
        <v>55.288690476190482</v>
      </c>
      <c r="E14" s="44">
        <v>55.288690476190482</v>
      </c>
      <c r="F14" s="48">
        <v>55.288690476190482</v>
      </c>
      <c r="G14" s="48">
        <v>56.357142857142847</v>
      </c>
      <c r="H14" s="48">
        <v>62.154785714285715</v>
      </c>
      <c r="I14" s="48">
        <v>67.0655</v>
      </c>
      <c r="J14" s="52">
        <v>84.160714285714263</v>
      </c>
      <c r="K14" s="52">
        <v>84.160714285714306</v>
      </c>
      <c r="L14" s="52">
        <v>71.619046428571423</v>
      </c>
      <c r="M14" s="52">
        <v>96.107146428571468</v>
      </c>
      <c r="N14" s="52">
        <v>97.599255952380943</v>
      </c>
      <c r="O14" s="52">
        <v>98.952344047619064</v>
      </c>
      <c r="P14" s="52">
        <v>98.019839285714284</v>
      </c>
      <c r="Q14" s="52">
        <v>99.234163095238102</v>
      </c>
      <c r="R14" s="52">
        <v>97.613100000000017</v>
      </c>
      <c r="S14" s="52">
        <v>98.656739285714295</v>
      </c>
      <c r="T14" s="52">
        <v>97.958324999999959</v>
      </c>
      <c r="U14" s="52">
        <v>97.992065476190476</v>
      </c>
      <c r="V14" s="52">
        <v>66.47618571428572</v>
      </c>
      <c r="W14" s="52">
        <v>83.541660714285698</v>
      </c>
      <c r="X14" s="52">
        <v>71.541671428571433</v>
      </c>
      <c r="Y14" s="52">
        <v>95.571439285714277</v>
      </c>
    </row>
    <row r="15" spans="1:25" s="36" customFormat="1" x14ac:dyDescent="0.3">
      <c r="A15" s="35"/>
      <c r="B15" s="45"/>
      <c r="C15" s="45"/>
      <c r="D15" s="45"/>
      <c r="E15" s="45"/>
      <c r="F15" s="49"/>
      <c r="G15" s="49"/>
      <c r="H15" s="49"/>
      <c r="I15" s="49"/>
      <c r="J15" s="53">
        <f>(J14-F14)/F14</f>
        <v>0.52220487699843843</v>
      </c>
      <c r="K15" s="53">
        <f>(K14-G14)/G14</f>
        <v>0.49334600760456337</v>
      </c>
      <c r="L15" s="53">
        <f>(L14-H14)/H14</f>
        <v>0.15226921958658499</v>
      </c>
      <c r="M15" s="53">
        <f>(M14-I14)/I14</f>
        <v>0.43303407010417383</v>
      </c>
      <c r="N15" s="53">
        <f>(N14-F14)/F14*100</f>
        <v>76.526618937395668</v>
      </c>
      <c r="O15" s="53">
        <f t="shared" ref="O15" si="17">(O14-G14)/G14*100</f>
        <v>75.580838614279742</v>
      </c>
      <c r="P15" s="53">
        <f t="shared" ref="P15" si="18">(P14-H14)/H14*100</f>
        <v>57.702803025166425</v>
      </c>
      <c r="Q15" s="53">
        <f t="shared" ref="Q15" si="19">(Q14-I14)/I14*100</f>
        <v>47.966037821589495</v>
      </c>
      <c r="R15" s="53">
        <f>(R14-F14)/F14*100</f>
        <v>76.551658502449285</v>
      </c>
      <c r="S15" s="53">
        <f t="shared" ref="S15" si="20">(S14-G14)/G14*100</f>
        <v>75.056318124207905</v>
      </c>
      <c r="T15" s="53">
        <f t="shared" ref="T15" si="21">(T14-H14)/H14*100</f>
        <v>57.603833517014479</v>
      </c>
      <c r="U15" s="53">
        <f>(U14-I14)/I14*100</f>
        <v>46.113971380501859</v>
      </c>
      <c r="V15" s="93">
        <f>(V14-F14)/F14</f>
        <v>0.20234690208322118</v>
      </c>
      <c r="W15" s="93">
        <f>(W14-G14)/G14</f>
        <v>0.48236153358681871</v>
      </c>
      <c r="X15" s="93">
        <f>(X14-H14)/H14</f>
        <v>0.15102434360300959</v>
      </c>
      <c r="Y15" s="93">
        <f>(Y14-I14)/I14</f>
        <v>0.42504625009452368</v>
      </c>
    </row>
    <row r="16" spans="1:25" x14ac:dyDescent="0.3">
      <c r="A16" s="56" t="s">
        <v>31</v>
      </c>
      <c r="B16" s="44">
        <v>64.544642857142847</v>
      </c>
      <c r="C16" s="44">
        <v>56.059523809523803</v>
      </c>
      <c r="D16" s="44">
        <v>56.059523809523803</v>
      </c>
      <c r="E16" s="44">
        <v>56.059523809523803</v>
      </c>
      <c r="F16" s="48">
        <v>56.059523809523803</v>
      </c>
      <c r="G16" s="48">
        <v>57.678678571428563</v>
      </c>
      <c r="H16" s="48">
        <v>60.589285714285708</v>
      </c>
      <c r="I16" s="48">
        <v>61.767892857142861</v>
      </c>
      <c r="J16" s="52">
        <v>72.101189285714284</v>
      </c>
      <c r="K16" s="52">
        <v>96.696421428571426</v>
      </c>
      <c r="L16" s="52">
        <v>98.767849999999996</v>
      </c>
      <c r="M16" s="52">
        <v>98.76785357142856</v>
      </c>
      <c r="N16" s="52">
        <v>98.742047619047597</v>
      </c>
      <c r="O16" s="52">
        <v>99.902769047619032</v>
      </c>
      <c r="P16" s="52">
        <v>99.722213095238089</v>
      </c>
      <c r="Q16" s="52">
        <v>99.551600000000022</v>
      </c>
      <c r="R16" s="52">
        <v>99.853149999999957</v>
      </c>
      <c r="S16" s="52">
        <v>99.408711904761859</v>
      </c>
      <c r="T16" s="52">
        <v>99.015869047619034</v>
      </c>
      <c r="U16" s="52">
        <v>98.744048809523818</v>
      </c>
      <c r="V16" s="52">
        <v>69.734566666666666</v>
      </c>
      <c r="W16" s="52">
        <v>96.470235714285678</v>
      </c>
      <c r="X16" s="52">
        <v>98.59524285714285</v>
      </c>
      <c r="Y16" s="52">
        <v>98.541667857142855</v>
      </c>
    </row>
    <row r="17" spans="1:25" s="36" customFormat="1" x14ac:dyDescent="0.3">
      <c r="A17" s="35"/>
      <c r="B17" s="45"/>
      <c r="C17" s="45"/>
      <c r="D17" s="45"/>
      <c r="E17" s="45"/>
      <c r="F17" s="49"/>
      <c r="G17" s="49"/>
      <c r="H17" s="49"/>
      <c r="I17" s="49"/>
      <c r="J17" s="53">
        <f>(J16-F16)/F16</f>
        <v>0.28615415162454888</v>
      </c>
      <c r="K17" s="53">
        <f>(K16-G16)/G16</f>
        <v>0.67646735021544868</v>
      </c>
      <c r="L17" s="53">
        <f>(L16-H16)/H16</f>
        <v>0.6301207191276158</v>
      </c>
      <c r="M17" s="53">
        <f>(M16-I16)/I16</f>
        <v>0.59901607457873662</v>
      </c>
      <c r="N17" s="53">
        <f>(N16-F16)/F16*100</f>
        <v>76.137863665321703</v>
      </c>
      <c r="O17" s="53">
        <f t="shared" ref="O17" si="22">(O16-G16)/G16*100</f>
        <v>73.20571747131946</v>
      </c>
      <c r="P17" s="53">
        <f t="shared" ref="P17" si="23">(P16-H16)/H16*100</f>
        <v>64.587206994793206</v>
      </c>
      <c r="Q17" s="53">
        <f t="shared" ref="Q17" si="24">(Q16-I16)/I16*100</f>
        <v>61.170464775678091</v>
      </c>
      <c r="R17" s="53">
        <f>(R16-F16)/F16*100</f>
        <v>78.119868337226535</v>
      </c>
      <c r="S17" s="53">
        <f t="shared" ref="S17" si="25">(S16-G16)/G16*100</f>
        <v>72.349149403024796</v>
      </c>
      <c r="T17" s="53">
        <f t="shared" ref="T17" si="26">(T16-H16)/H16*100</f>
        <v>63.421416642106287</v>
      </c>
      <c r="U17" s="53">
        <f>(U16-I16)/I16*100</f>
        <v>59.863068403352571</v>
      </c>
      <c r="V17" s="93">
        <f>(V16-F16)/F16</f>
        <v>0.24393790613718425</v>
      </c>
      <c r="W17" s="93">
        <f>(W16-G16)/G16</f>
        <v>0.67254587143181743</v>
      </c>
      <c r="X17" s="93">
        <f>(X16-H16)/H16</f>
        <v>0.62727191276156802</v>
      </c>
      <c r="Y17" s="93">
        <f>(Y16-I16)/I16</f>
        <v>0.59535420910424441</v>
      </c>
    </row>
    <row r="18" spans="1:25" x14ac:dyDescent="0.3">
      <c r="A18" s="56" t="s">
        <v>32</v>
      </c>
      <c r="B18" s="44">
        <v>68.583333333333314</v>
      </c>
      <c r="C18" s="44">
        <v>62.261904761904759</v>
      </c>
      <c r="D18" s="44">
        <v>62.261904761904759</v>
      </c>
      <c r="E18" s="44">
        <v>62.261904761904759</v>
      </c>
      <c r="F18" s="48">
        <v>62.261904761904759</v>
      </c>
      <c r="G18" s="48">
        <v>57.892785714285708</v>
      </c>
      <c r="H18" s="48">
        <v>59.535678571428569</v>
      </c>
      <c r="I18" s="48">
        <v>63.482107142857117</v>
      </c>
      <c r="J18" s="52">
        <v>82.190482142857135</v>
      </c>
      <c r="K18" s="52">
        <v>80.339285714285708</v>
      </c>
      <c r="L18" s="52">
        <v>91.250003571428579</v>
      </c>
      <c r="M18" s="52">
        <v>88.452385714285725</v>
      </c>
      <c r="N18" s="52">
        <v>97.126983333333328</v>
      </c>
      <c r="O18" s="52">
        <v>95.831342857142843</v>
      </c>
      <c r="P18" s="52">
        <v>97.88690357142859</v>
      </c>
      <c r="Q18" s="52">
        <v>95.158732142857147</v>
      </c>
      <c r="R18" s="52">
        <v>91.068266269841274</v>
      </c>
      <c r="S18" s="52">
        <v>90.784463800705453</v>
      </c>
      <c r="T18" s="52">
        <v>98.349207142857153</v>
      </c>
      <c r="U18" s="52">
        <v>97.16667023809525</v>
      </c>
      <c r="V18" s="52">
        <v>80.904764285714279</v>
      </c>
      <c r="W18" s="52">
        <v>79.017849999999996</v>
      </c>
      <c r="X18" s="52">
        <v>90.732128571428561</v>
      </c>
      <c r="Y18" s="52">
        <v>87.956796296296304</v>
      </c>
    </row>
    <row r="19" spans="1:25" s="36" customFormat="1" x14ac:dyDescent="0.3">
      <c r="A19" s="35"/>
      <c r="B19" s="45"/>
      <c r="C19" s="45"/>
      <c r="D19" s="45"/>
      <c r="E19" s="45"/>
      <c r="F19" s="49"/>
      <c r="G19" s="49"/>
      <c r="H19" s="49"/>
      <c r="I19" s="49"/>
      <c r="J19" s="53">
        <f>(J18-F18)/F18</f>
        <v>0.32007657743785844</v>
      </c>
      <c r="K19" s="53">
        <f>(K18-G18)/G18</f>
        <v>0.38772533957475586</v>
      </c>
      <c r="L19" s="53">
        <f>(L18-H18)/H18</f>
        <v>0.5326944407285189</v>
      </c>
      <c r="M19" s="53">
        <f>(M18-I18)/I18</f>
        <v>0.39334356868836567</v>
      </c>
      <c r="N19" s="53">
        <f>(N18-F18)/F18*100</f>
        <v>55.99744933078393</v>
      </c>
      <c r="O19" s="53">
        <f t="shared" ref="O19" si="27">(O18-G18)/G18*100</f>
        <v>65.532443593391221</v>
      </c>
      <c r="P19" s="53">
        <f t="shared" ref="P19" si="28">(P18-H18)/H18*100</f>
        <v>64.41721320768643</v>
      </c>
      <c r="Q19" s="53">
        <f t="shared" ref="Q19" si="29">(Q18-I18)/I18*100</f>
        <v>49.898509084955947</v>
      </c>
      <c r="R19" s="53">
        <f>(R18-F18)/F18*100</f>
        <v>46.266431485022316</v>
      </c>
      <c r="S19" s="53">
        <f t="shared" ref="S19" si="30">(S18-G18)/G18*100</f>
        <v>56.814813245898698</v>
      </c>
      <c r="T19" s="53">
        <f t="shared" ref="T19" si="31">(T18-H18)/H18*100</f>
        <v>65.193728370562937</v>
      </c>
      <c r="U19" s="53">
        <f>(U18-I18)/I18*100</f>
        <v>53.061507582657882</v>
      </c>
      <c r="V19" s="93">
        <f>(V18-F18)/F18</f>
        <v>0.29942642447418732</v>
      </c>
      <c r="W19" s="93">
        <f>(W18-G18)/G18</f>
        <v>0.36489977162217357</v>
      </c>
      <c r="X19" s="93">
        <f>(X18-H18)/H18</f>
        <v>0.52399587522248048</v>
      </c>
      <c r="Y19" s="93">
        <f>(Y18-I18)/I18</f>
        <v>0.38553681115786703</v>
      </c>
    </row>
    <row r="20" spans="1:25" x14ac:dyDescent="0.3">
      <c r="A20" s="56" t="s">
        <v>33</v>
      </c>
      <c r="B20" s="44">
        <v>51.300595238095234</v>
      </c>
      <c r="C20" s="44">
        <v>50.68452380952381</v>
      </c>
      <c r="D20" s="44">
        <v>50.68452380952381</v>
      </c>
      <c r="E20" s="44">
        <v>50.68452380952381</v>
      </c>
      <c r="F20" s="48">
        <v>50.68452380952381</v>
      </c>
      <c r="G20" s="48">
        <v>50.035714285714285</v>
      </c>
      <c r="H20" s="48">
        <v>53.916642857142847</v>
      </c>
      <c r="I20" s="48">
        <v>58.000000000000014</v>
      </c>
      <c r="J20" s="52">
        <v>92.339282142857158</v>
      </c>
      <c r="K20" s="52">
        <v>93.267846428571403</v>
      </c>
      <c r="L20" s="52">
        <v>93.267846428571403</v>
      </c>
      <c r="M20" s="52">
        <v>91.827385714285725</v>
      </c>
      <c r="N20" s="52">
        <v>96.478175000000007</v>
      </c>
      <c r="O20" s="52">
        <v>93.345235714285707</v>
      </c>
      <c r="P20" s="52">
        <v>88.265869047619049</v>
      </c>
      <c r="Q20" s="52">
        <v>85.601189285714284</v>
      </c>
      <c r="R20" s="52">
        <v>75.329364285714291</v>
      </c>
      <c r="S20" s="52">
        <v>93.450398809523804</v>
      </c>
      <c r="T20" s="52">
        <v>90.716271428571417</v>
      </c>
      <c r="U20" s="52">
        <v>83.541665476190474</v>
      </c>
      <c r="V20" s="52">
        <v>91.61905357142858</v>
      </c>
      <c r="W20" s="52">
        <v>93.184514285714258</v>
      </c>
      <c r="X20" s="52">
        <v>92.125007142857157</v>
      </c>
      <c r="Y20" s="52">
        <v>91.178582142857167</v>
      </c>
    </row>
    <row r="21" spans="1:25" s="36" customFormat="1" x14ac:dyDescent="0.3">
      <c r="A21" s="35"/>
      <c r="B21" s="45"/>
      <c r="C21" s="45"/>
      <c r="D21" s="45"/>
      <c r="E21" s="45"/>
      <c r="F21" s="49"/>
      <c r="G21" s="49"/>
      <c r="H21" s="49"/>
      <c r="I21" s="49"/>
      <c r="J21" s="53">
        <f>(J20-F20)/F20</f>
        <v>0.82184373458602489</v>
      </c>
      <c r="K21" s="53">
        <f>(K20-G20)/G20</f>
        <v>0.86402548179871475</v>
      </c>
      <c r="L21" s="53">
        <f>(L20-H20)/H20</f>
        <v>0.72985262965450626</v>
      </c>
      <c r="M21" s="53">
        <f>(M20-I20)/I20</f>
        <v>0.58323078817733975</v>
      </c>
      <c r="N21" s="53">
        <f>(N20-F20)/F20*100</f>
        <v>90.35036288901938</v>
      </c>
      <c r="O21" s="53">
        <f t="shared" ref="O21" si="32">(O20-G20)/G20*100</f>
        <v>86.557216274089924</v>
      </c>
      <c r="P21" s="53">
        <f t="shared" ref="P21" si="33">(P20-H20)/H20*100</f>
        <v>63.708021067794718</v>
      </c>
      <c r="Q21" s="53">
        <f t="shared" ref="Q21" si="34">(Q20-I20)/I20*100</f>
        <v>47.588257389162521</v>
      </c>
      <c r="R21" s="53">
        <f>(R20-F20)/F20*100</f>
        <v>48.623995302407522</v>
      </c>
      <c r="S21" s="53">
        <f t="shared" ref="S21" si="35">(S20-G20)/G20*100</f>
        <v>86.767392338805607</v>
      </c>
      <c r="T21" s="53">
        <f t="shared" ref="T21" si="36">(T20-H20)/H20*100</f>
        <v>68.252818835424534</v>
      </c>
      <c r="U21" s="53">
        <f>(U20-I20)/I20*100</f>
        <v>44.037354269293886</v>
      </c>
      <c r="V21" s="93">
        <f>(V20-F20)/F20</f>
        <v>0.80763370522607181</v>
      </c>
      <c r="W21" s="93">
        <f>(W20-G20)/G20</f>
        <v>0.86236002855103444</v>
      </c>
      <c r="X21" s="93">
        <f>(X20-H20)/H20</f>
        <v>0.70865621932268519</v>
      </c>
      <c r="Y21" s="93">
        <f>(Y20-I20)/I20</f>
        <v>0.57204451970443349</v>
      </c>
    </row>
    <row r="22" spans="1:25" x14ac:dyDescent="0.3">
      <c r="A22" s="56" t="s">
        <v>34</v>
      </c>
      <c r="B22" s="47">
        <f>AVERAGE(B6:B20)</f>
        <v>61.296130952380942</v>
      </c>
      <c r="C22" s="47">
        <f t="shared" ref="C22:H22" si="37">AVERAGE(C6:C20)</f>
        <v>55.07328869047619</v>
      </c>
      <c r="D22" s="47">
        <f t="shared" si="37"/>
        <v>55.07328869047619</v>
      </c>
      <c r="E22" s="47">
        <f t="shared" si="37"/>
        <v>55.07328869047619</v>
      </c>
      <c r="F22" s="51">
        <f>AVERAGE(F6:F20)</f>
        <v>55.07328869047619</v>
      </c>
      <c r="G22" s="48">
        <f t="shared" si="37"/>
        <v>57.714276785714283</v>
      </c>
      <c r="H22" s="48">
        <f t="shared" si="37"/>
        <v>60.226928571428573</v>
      </c>
      <c r="I22" s="48">
        <f>AVERAGE(I6:I20)</f>
        <v>63.744790178571421</v>
      </c>
      <c r="J22" s="75">
        <f>AVERAGE(J6,J8,J10,J12,J14,J16,J18,J20)</f>
        <v>80.747023214285718</v>
      </c>
      <c r="K22" s="75">
        <f>AVERAGE(K6,K8,K10,K12,K14,K16,K18,K20)</f>
        <v>88.916667857142855</v>
      </c>
      <c r="L22" s="75">
        <f>AVERAGE(L6,L8,L10,L12,L14,L16,L18,L20)</f>
        <v>87.956100446428565</v>
      </c>
      <c r="M22" s="75">
        <f>AVERAGE(M6,M8,M10,M12,M14,M16,M18,M20)</f>
        <v>92.646578571428563</v>
      </c>
      <c r="N22" s="75">
        <f t="shared" ref="N22:Y22" si="38">AVERAGE(N6,N8,N10,N12,N14,N16,N18,N20)</f>
        <v>96.072426190476179</v>
      </c>
      <c r="O22" s="75">
        <f t="shared" si="38"/>
        <v>97.674352232142866</v>
      </c>
      <c r="P22" s="75">
        <f t="shared" si="38"/>
        <v>96.450390178571425</v>
      </c>
      <c r="Q22" s="75">
        <f t="shared" si="38"/>
        <v>95.346235267857153</v>
      </c>
      <c r="R22" s="75">
        <f t="shared" si="38"/>
        <v>93.37510009920635</v>
      </c>
      <c r="S22" s="75">
        <f t="shared" si="38"/>
        <v>95.74455705467372</v>
      </c>
      <c r="T22" s="75">
        <f t="shared" si="38"/>
        <v>96.324155059523804</v>
      </c>
      <c r="U22" s="75">
        <f t="shared" si="38"/>
        <v>93.052829613095255</v>
      </c>
      <c r="V22" s="75">
        <f t="shared" si="38"/>
        <v>77.832507208994699</v>
      </c>
      <c r="W22" s="75">
        <f t="shared" si="38"/>
        <v>87.377974999999992</v>
      </c>
      <c r="X22" s="75">
        <f t="shared" si="38"/>
        <v>87.466627166005281</v>
      </c>
      <c r="Y22" s="75">
        <f t="shared" si="38"/>
        <v>92.195690095899479</v>
      </c>
    </row>
    <row r="23" spans="1:25" s="36" customFormat="1" x14ac:dyDescent="0.3">
      <c r="B23" s="39"/>
      <c r="J23" s="76">
        <f>(J22-F22)/F22</f>
        <v>0.46617398623317152</v>
      </c>
      <c r="K23" s="76">
        <f>(K22-G22)/G22</f>
        <v>0.54063557249931504</v>
      </c>
      <c r="L23" s="76">
        <f>(L22-H22)/H22</f>
        <v>0.46041152243241912</v>
      </c>
      <c r="M23" s="76">
        <f>(M22-I22)/I22</f>
        <v>0.45339843949432007</v>
      </c>
      <c r="N23" s="76">
        <f>(N22-F22)/F22</f>
        <v>0.74444687206576721</v>
      </c>
      <c r="O23" s="77">
        <f t="shared" ref="O23:P23" si="39">(O22-G22)/G22*100</f>
        <v>69.237765197674094</v>
      </c>
      <c r="P23" s="77">
        <f t="shared" si="39"/>
        <v>60.144959184133327</v>
      </c>
      <c r="Q23" s="77">
        <f>(Q22-I22)/I22*100</f>
        <v>49.574945655572868</v>
      </c>
      <c r="R23" s="77">
        <f>(R22-F22)/F22*100</f>
        <v>69.54698424492976</v>
      </c>
      <c r="S23" s="77">
        <f t="shared" ref="S23" si="40">(S22-G22)/G22*100</f>
        <v>65.894060164976153</v>
      </c>
      <c r="T23" s="77">
        <f t="shared" ref="T23" si="41">(T22-H22)/H22*100</f>
        <v>59.93536005291098</v>
      </c>
      <c r="U23" s="77">
        <f>(U22-I22)/I22*100</f>
        <v>45.977152567953837</v>
      </c>
      <c r="V23" s="92">
        <f>(V22-F22)/F22</f>
        <v>0.41325330409139438</v>
      </c>
      <c r="W23" s="92">
        <f>(W22-G22)/G22</f>
        <v>0.51397504857287257</v>
      </c>
      <c r="X23" s="92">
        <f>(X22-H22)/H22</f>
        <v>0.45228437246755299</v>
      </c>
      <c r="Y23" s="92">
        <f>(Y22-I22)/I22</f>
        <v>0.44632510104162476</v>
      </c>
    </row>
    <row r="24" spans="1:25" s="54" customFormat="1" x14ac:dyDescent="0.3"/>
    <row r="25" spans="1:25" x14ac:dyDescent="0.3">
      <c r="A25" s="54" t="s">
        <v>54</v>
      </c>
    </row>
    <row r="26" spans="1:25" x14ac:dyDescent="0.3">
      <c r="A26" s="83" t="s">
        <v>71</v>
      </c>
      <c r="B26" s="84" t="s">
        <v>55</v>
      </c>
      <c r="C26" s="85" t="s">
        <v>23</v>
      </c>
      <c r="D26" s="86" t="s">
        <v>22</v>
      </c>
      <c r="E26" s="81" t="s">
        <v>44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 spans="1:25" x14ac:dyDescent="0.3">
      <c r="A27" s="83"/>
      <c r="B27" s="84"/>
      <c r="C27" s="85"/>
      <c r="D27" s="86"/>
      <c r="E27" s="40" t="s">
        <v>1</v>
      </c>
      <c r="F27" s="40" t="s">
        <v>56</v>
      </c>
      <c r="G27" s="40" t="s">
        <v>57</v>
      </c>
      <c r="H27" s="40" t="s">
        <v>58</v>
      </c>
      <c r="I27" s="40" t="s">
        <v>1</v>
      </c>
      <c r="J27" s="40" t="s">
        <v>56</v>
      </c>
      <c r="K27" s="40" t="s">
        <v>57</v>
      </c>
      <c r="L27" s="40" t="s">
        <v>58</v>
      </c>
      <c r="M27" s="40" t="s">
        <v>1</v>
      </c>
      <c r="N27" s="40" t="s">
        <v>56</v>
      </c>
      <c r="O27" s="40" t="s">
        <v>57</v>
      </c>
      <c r="P27" s="40" t="s">
        <v>58</v>
      </c>
    </row>
    <row r="28" spans="1:25" x14ac:dyDescent="0.3">
      <c r="A28" s="83"/>
      <c r="B28" s="84"/>
      <c r="C28" s="85"/>
      <c r="D28" s="86"/>
      <c r="E28" s="81" t="s">
        <v>67</v>
      </c>
      <c r="F28" s="81"/>
      <c r="G28" s="81"/>
      <c r="H28" s="81"/>
      <c r="I28" s="81" t="s">
        <v>68</v>
      </c>
      <c r="J28" s="81"/>
      <c r="K28" s="81"/>
      <c r="L28" s="81"/>
      <c r="M28" s="81" t="s">
        <v>69</v>
      </c>
      <c r="N28" s="81"/>
      <c r="O28" s="81"/>
      <c r="P28" s="81"/>
    </row>
    <row r="29" spans="1:25" x14ac:dyDescent="0.3">
      <c r="A29" s="57" t="s">
        <v>59</v>
      </c>
      <c r="B29" s="58"/>
      <c r="C29" s="58"/>
      <c r="D29" s="58"/>
      <c r="E29" s="59">
        <v>6.9</v>
      </c>
      <c r="F29" s="59">
        <v>8.9</v>
      </c>
      <c r="G29" s="59">
        <v>9.01</v>
      </c>
      <c r="H29" s="59">
        <v>13.54</v>
      </c>
      <c r="I29" s="59">
        <v>6.9</v>
      </c>
      <c r="J29" s="59">
        <v>8.9</v>
      </c>
      <c r="K29" s="59">
        <v>9.01</v>
      </c>
      <c r="L29" s="59">
        <v>13.54</v>
      </c>
      <c r="M29" s="59">
        <v>6.9</v>
      </c>
      <c r="N29" s="59">
        <v>8.9</v>
      </c>
      <c r="O29" s="59">
        <v>9.01</v>
      </c>
      <c r="P29" s="59">
        <v>13.54</v>
      </c>
    </row>
    <row r="30" spans="1:25" x14ac:dyDescent="0.3">
      <c r="A30" s="60" t="s">
        <v>60</v>
      </c>
      <c r="B30" s="61">
        <v>5.8999999999999997E-2</v>
      </c>
      <c r="C30" s="62">
        <v>2.5000000000000001E-2</v>
      </c>
      <c r="D30" s="63">
        <v>0.06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</row>
    <row r="31" spans="1:25" x14ac:dyDescent="0.3">
      <c r="A31" s="56" t="s">
        <v>61</v>
      </c>
      <c r="B31" s="61">
        <f>B30*150</f>
        <v>8.85</v>
      </c>
      <c r="C31" s="62">
        <f>C30*150</f>
        <v>3.75</v>
      </c>
      <c r="D31" s="63">
        <f>D30*150</f>
        <v>9</v>
      </c>
      <c r="E31" s="64">
        <v>2.95</v>
      </c>
      <c r="F31" s="64">
        <v>2.78</v>
      </c>
      <c r="G31" s="64">
        <v>2.83</v>
      </c>
      <c r="H31" s="64">
        <v>2.83</v>
      </c>
      <c r="I31" s="34">
        <v>5.69</v>
      </c>
      <c r="J31" s="34">
        <v>4.8899999999999997</v>
      </c>
      <c r="K31" s="34">
        <v>4.84</v>
      </c>
      <c r="L31" s="34">
        <v>4.3600000000000003</v>
      </c>
      <c r="M31" s="34">
        <v>9.19</v>
      </c>
      <c r="N31" s="34">
        <v>7.43</v>
      </c>
      <c r="O31" s="34">
        <v>7.32</v>
      </c>
      <c r="P31" s="34">
        <v>6.38</v>
      </c>
    </row>
    <row r="32" spans="1:25" ht="32.4" x14ac:dyDescent="0.3">
      <c r="A32" s="65" t="s">
        <v>62</v>
      </c>
      <c r="B32" s="66"/>
      <c r="C32" s="58"/>
      <c r="D32" s="58"/>
      <c r="E32" s="67">
        <f>E29+E31</f>
        <v>9.8500000000000014</v>
      </c>
      <c r="F32" s="67">
        <f t="shared" ref="F32:P32" si="42">F29+F31</f>
        <v>11.68</v>
      </c>
      <c r="G32" s="67">
        <f t="shared" si="42"/>
        <v>11.84</v>
      </c>
      <c r="H32" s="67">
        <f t="shared" si="42"/>
        <v>16.369999999999997</v>
      </c>
      <c r="I32" s="67">
        <f t="shared" si="42"/>
        <v>12.59</v>
      </c>
      <c r="J32" s="67">
        <f t="shared" si="42"/>
        <v>13.79</v>
      </c>
      <c r="K32" s="67">
        <f t="shared" si="42"/>
        <v>13.85</v>
      </c>
      <c r="L32" s="67">
        <f t="shared" si="42"/>
        <v>17.899999999999999</v>
      </c>
      <c r="M32" s="67">
        <f t="shared" si="42"/>
        <v>16.09</v>
      </c>
      <c r="N32" s="67">
        <f t="shared" si="42"/>
        <v>16.329999999999998</v>
      </c>
      <c r="O32" s="67">
        <f t="shared" si="42"/>
        <v>16.329999999999998</v>
      </c>
      <c r="P32" s="67">
        <f t="shared" si="42"/>
        <v>19.919999999999998</v>
      </c>
    </row>
    <row r="33" spans="1:16" x14ac:dyDescent="0.3">
      <c r="A33" s="68" t="s">
        <v>63</v>
      </c>
      <c r="B33" s="69">
        <f>B31</f>
        <v>8.85</v>
      </c>
      <c r="C33" s="70">
        <f t="shared" ref="C33:D33" si="43">C31</f>
        <v>3.75</v>
      </c>
      <c r="D33" s="71">
        <f t="shared" si="43"/>
        <v>9</v>
      </c>
      <c r="E33" s="72">
        <f>E32</f>
        <v>9.8500000000000014</v>
      </c>
      <c r="F33" s="72">
        <f t="shared" ref="F33:P33" si="44">F32</f>
        <v>11.68</v>
      </c>
      <c r="G33" s="72">
        <f t="shared" si="44"/>
        <v>11.84</v>
      </c>
      <c r="H33" s="72">
        <f t="shared" si="44"/>
        <v>16.369999999999997</v>
      </c>
      <c r="I33" s="72">
        <f t="shared" si="44"/>
        <v>12.59</v>
      </c>
      <c r="J33" s="72">
        <f t="shared" si="44"/>
        <v>13.79</v>
      </c>
      <c r="K33" s="72">
        <f t="shared" si="44"/>
        <v>13.85</v>
      </c>
      <c r="L33" s="72">
        <f t="shared" si="44"/>
        <v>17.899999999999999</v>
      </c>
      <c r="M33" s="72">
        <f t="shared" si="44"/>
        <v>16.09</v>
      </c>
      <c r="N33" s="72">
        <f t="shared" si="44"/>
        <v>16.329999999999998</v>
      </c>
      <c r="O33" s="72">
        <f t="shared" si="44"/>
        <v>16.329999999999998</v>
      </c>
      <c r="P33" s="72">
        <f t="shared" si="44"/>
        <v>19.919999999999998</v>
      </c>
    </row>
    <row r="34" spans="1:16" x14ac:dyDescent="0.3">
      <c r="A34" s="35"/>
      <c r="B34" s="36"/>
      <c r="C34" s="36"/>
      <c r="D34" s="36"/>
      <c r="E34" s="35">
        <f t="shared" ref="E34:P34" si="45">(E33-9)/9*100</f>
        <v>9.4444444444444606</v>
      </c>
      <c r="F34" s="35">
        <f t="shared" si="45"/>
        <v>29.777777777777775</v>
      </c>
      <c r="G34" s="35">
        <f t="shared" si="45"/>
        <v>31.555555555555554</v>
      </c>
      <c r="H34" s="35">
        <f t="shared" si="45"/>
        <v>81.888888888888857</v>
      </c>
      <c r="I34" s="35">
        <f t="shared" si="45"/>
        <v>39.888888888888886</v>
      </c>
      <c r="J34" s="35">
        <f t="shared" si="45"/>
        <v>53.222222222222214</v>
      </c>
      <c r="K34" s="35">
        <f t="shared" si="45"/>
        <v>53.888888888888886</v>
      </c>
      <c r="L34" s="35">
        <f t="shared" si="45"/>
        <v>98.888888888888872</v>
      </c>
      <c r="M34" s="35">
        <f t="shared" si="45"/>
        <v>78.777777777777786</v>
      </c>
      <c r="N34" s="35">
        <f t="shared" si="45"/>
        <v>81.444444444444429</v>
      </c>
      <c r="O34" s="35">
        <f t="shared" si="45"/>
        <v>81.444444444444429</v>
      </c>
      <c r="P34" s="35">
        <f t="shared" si="45"/>
        <v>121.33333333333331</v>
      </c>
    </row>
    <row r="35" spans="1:16" x14ac:dyDescent="0.3">
      <c r="A35" s="54" t="s">
        <v>70</v>
      </c>
    </row>
    <row r="36" spans="1:16" x14ac:dyDescent="0.3">
      <c r="A36" s="83" t="s">
        <v>25</v>
      </c>
      <c r="B36" s="84" t="s">
        <v>55</v>
      </c>
      <c r="C36" s="85" t="s">
        <v>23</v>
      </c>
      <c r="D36" s="85"/>
      <c r="E36" s="85"/>
      <c r="F36" s="85"/>
      <c r="G36" s="86" t="s">
        <v>22</v>
      </c>
      <c r="H36" s="86"/>
      <c r="I36" s="86"/>
      <c r="J36" s="86"/>
      <c r="K36" s="81" t="s">
        <v>44</v>
      </c>
    </row>
    <row r="37" spans="1:16" x14ac:dyDescent="0.3">
      <c r="A37" s="83"/>
      <c r="B37" s="84"/>
      <c r="C37" s="41" t="s">
        <v>64</v>
      </c>
      <c r="D37" s="41" t="s">
        <v>35</v>
      </c>
      <c r="E37" s="41" t="s">
        <v>36</v>
      </c>
      <c r="F37" s="41" t="s">
        <v>37</v>
      </c>
      <c r="G37" s="42" t="s">
        <v>43</v>
      </c>
      <c r="H37" s="42" t="s">
        <v>38</v>
      </c>
      <c r="I37" s="42" t="s">
        <v>39</v>
      </c>
      <c r="J37" s="42" t="s">
        <v>40</v>
      </c>
      <c r="K37" s="81"/>
    </row>
    <row r="38" spans="1:16" x14ac:dyDescent="0.3">
      <c r="A38" s="56" t="s">
        <v>65</v>
      </c>
      <c r="B38" s="32">
        <f>B39/1000000</f>
        <v>482.90421600000002</v>
      </c>
      <c r="C38" s="33">
        <f t="shared" ref="C38:K38" si="46">C39/1000000</f>
        <v>321.93614400000001</v>
      </c>
      <c r="D38" s="33">
        <f t="shared" si="46"/>
        <v>160.97153599999999</v>
      </c>
      <c r="E38" s="33">
        <f t="shared" si="46"/>
        <v>160.97153599999999</v>
      </c>
      <c r="F38" s="33">
        <f t="shared" si="46"/>
        <v>80.489232000000001</v>
      </c>
      <c r="G38" s="73">
        <f t="shared" si="46"/>
        <v>321.93614400000001</v>
      </c>
      <c r="H38" s="73">
        <f t="shared" si="46"/>
        <v>160.97153599999999</v>
      </c>
      <c r="I38" s="73">
        <f t="shared" si="46"/>
        <v>160.97153599999999</v>
      </c>
      <c r="J38" s="73">
        <f t="shared" si="46"/>
        <v>80.489232000000001</v>
      </c>
      <c r="K38" s="59">
        <f t="shared" si="46"/>
        <v>93.136461999999995</v>
      </c>
    </row>
    <row r="39" spans="1:16" x14ac:dyDescent="0.3">
      <c r="A39" s="56" t="s">
        <v>66</v>
      </c>
      <c r="B39" s="32">
        <v>482904216</v>
      </c>
      <c r="C39" s="62">
        <v>321936144</v>
      </c>
      <c r="D39" s="62">
        <v>160971536</v>
      </c>
      <c r="E39" s="62">
        <v>160971536</v>
      </c>
      <c r="F39" s="62">
        <v>80489232</v>
      </c>
      <c r="G39" s="63">
        <v>321936144</v>
      </c>
      <c r="H39" s="63">
        <v>160971536</v>
      </c>
      <c r="I39" s="63">
        <v>160971536</v>
      </c>
      <c r="J39" s="63">
        <v>80489232</v>
      </c>
      <c r="K39" s="59">
        <v>93136462</v>
      </c>
    </row>
    <row r="40" spans="1:16" x14ac:dyDescent="0.3">
      <c r="A40" s="56"/>
      <c r="B40" s="56"/>
      <c r="C40" s="56"/>
      <c r="D40" s="74"/>
      <c r="E40" s="74"/>
      <c r="F40" s="74"/>
      <c r="G40" s="74"/>
      <c r="H40" s="74"/>
      <c r="I40" s="74"/>
      <c r="J40" s="74"/>
      <c r="K40" s="36">
        <f>(K39-AVERAGE(G39:J39))/AVERAGE(G39:J39)*100</f>
        <v>-48.569564421447573</v>
      </c>
    </row>
    <row r="41" spans="1:16" x14ac:dyDescent="0.3">
      <c r="B41" s="43"/>
    </row>
    <row r="42" spans="1:16" x14ac:dyDescent="0.3">
      <c r="B42" s="43"/>
    </row>
    <row r="43" spans="1:16" x14ac:dyDescent="0.3">
      <c r="B43" s="43"/>
    </row>
    <row r="44" spans="1:16" x14ac:dyDescent="0.3">
      <c r="B44" s="43"/>
    </row>
    <row r="45" spans="1:16" x14ac:dyDescent="0.3">
      <c r="B45" s="43"/>
    </row>
    <row r="46" spans="1:16" x14ac:dyDescent="0.3">
      <c r="B46" s="43"/>
    </row>
    <row r="47" spans="1:16" x14ac:dyDescent="0.3">
      <c r="B47" s="43"/>
    </row>
    <row r="48" spans="1:16" x14ac:dyDescent="0.3">
      <c r="B48" s="43"/>
    </row>
    <row r="49" spans="2:2" x14ac:dyDescent="0.3">
      <c r="B49" s="43"/>
    </row>
    <row r="50" spans="2:2" x14ac:dyDescent="0.3">
      <c r="B50" s="43"/>
    </row>
    <row r="51" spans="2:2" x14ac:dyDescent="0.3">
      <c r="B51" s="43"/>
    </row>
    <row r="52" spans="2:2" x14ac:dyDescent="0.3">
      <c r="B52" s="43"/>
    </row>
  </sheetData>
  <dataConsolidate/>
  <mergeCells count="30">
    <mergeCell ref="N5:Q5"/>
    <mergeCell ref="R5:U5"/>
    <mergeCell ref="V5:Y5"/>
    <mergeCell ref="J5:M5"/>
    <mergeCell ref="J3:M3"/>
    <mergeCell ref="F3:I3"/>
    <mergeCell ref="B4:B5"/>
    <mergeCell ref="C4:C5"/>
    <mergeCell ref="D4:D5"/>
    <mergeCell ref="E4:E5"/>
    <mergeCell ref="F4:F5"/>
    <mergeCell ref="G4:G5"/>
    <mergeCell ref="H4:H5"/>
    <mergeCell ref="I4:I5"/>
    <mergeCell ref="A3:A5"/>
    <mergeCell ref="B26:B28"/>
    <mergeCell ref="C26:C28"/>
    <mergeCell ref="A26:A28"/>
    <mergeCell ref="B3:E3"/>
    <mergeCell ref="I28:L28"/>
    <mergeCell ref="M28:P28"/>
    <mergeCell ref="E26:P26"/>
    <mergeCell ref="E30:P30"/>
    <mergeCell ref="A36:A37"/>
    <mergeCell ref="B36:B37"/>
    <mergeCell ref="C36:F36"/>
    <mergeCell ref="G36:J36"/>
    <mergeCell ref="K36:K37"/>
    <mergeCell ref="D26:D28"/>
    <mergeCell ref="E28:H2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similarity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2023-02-07T08:44:57Z</dcterms:created>
  <dcterms:modified xsi:type="dcterms:W3CDTF">2023-05-08T01:43:24Z</dcterms:modified>
</cp:coreProperties>
</file>