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ng\M2O\"/>
    </mc:Choice>
  </mc:AlternateContent>
  <xr:revisionPtr revIDLastSave="0" documentId="13_ncr:1_{DC914E6D-9D4A-4C25-8724-D1D9B85B0A9E}" xr6:coauthVersionLast="36" xr6:coauthVersionMax="36" xr10:uidLastSave="{00000000-0000-0000-0000-000000000000}"/>
  <bookViews>
    <workbookView xWindow="0" yWindow="0" windowWidth="7635" windowHeight="1230" activeTab="3" xr2:uid="{498C1F54-6F18-4BB1-9FDF-FFA55533A543}"/>
  </bookViews>
  <sheets>
    <sheet name="similarity" sheetId="1" r:id="rId1"/>
    <sheet name="source" sheetId="2" r:id="rId2"/>
    <sheet name="target" sheetId="3" r:id="rId3"/>
    <sheet name="comparison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4" i="4" l="1"/>
  <c r="E34" i="4"/>
  <c r="G34" i="4"/>
  <c r="H34" i="4"/>
  <c r="M23" i="4" l="1"/>
  <c r="L23" i="4"/>
  <c r="K23" i="4"/>
  <c r="J23" i="4"/>
  <c r="M21" i="4"/>
  <c r="L21" i="4"/>
  <c r="K21" i="4"/>
  <c r="J21" i="4"/>
  <c r="M19" i="4"/>
  <c r="L19" i="4"/>
  <c r="K19" i="4"/>
  <c r="J19" i="4"/>
  <c r="M17" i="4"/>
  <c r="L17" i="4"/>
  <c r="K17" i="4"/>
  <c r="J17" i="4"/>
  <c r="M15" i="4"/>
  <c r="L15" i="4"/>
  <c r="K15" i="4"/>
  <c r="J15" i="4"/>
  <c r="M13" i="4"/>
  <c r="L13" i="4"/>
  <c r="K13" i="4"/>
  <c r="J13" i="4"/>
  <c r="M11" i="4"/>
  <c r="L11" i="4"/>
  <c r="K11" i="4"/>
  <c r="J11" i="4"/>
  <c r="M9" i="4"/>
  <c r="L9" i="4"/>
  <c r="K9" i="4"/>
  <c r="J9" i="4"/>
  <c r="M7" i="4"/>
  <c r="K7" i="4"/>
  <c r="L7" i="4"/>
  <c r="J7" i="4"/>
  <c r="K22" i="4"/>
  <c r="L22" i="4"/>
  <c r="M22" i="4"/>
  <c r="J22" i="4"/>
  <c r="K40" i="4"/>
  <c r="K38" i="4"/>
  <c r="J38" i="4"/>
  <c r="I38" i="4"/>
  <c r="H38" i="4"/>
  <c r="G38" i="4"/>
  <c r="F38" i="4"/>
  <c r="E38" i="4"/>
  <c r="D38" i="4"/>
  <c r="C38" i="4"/>
  <c r="B38" i="4"/>
  <c r="E33" i="4"/>
  <c r="D33" i="4"/>
  <c r="C33" i="4"/>
  <c r="B33" i="4"/>
  <c r="P32" i="4"/>
  <c r="P33" i="4" s="1"/>
  <c r="P34" i="4" s="1"/>
  <c r="O32" i="4"/>
  <c r="O33" i="4" s="1"/>
  <c r="O34" i="4" s="1"/>
  <c r="N32" i="4"/>
  <c r="N33" i="4" s="1"/>
  <c r="N34" i="4" s="1"/>
  <c r="M32" i="4"/>
  <c r="M33" i="4" s="1"/>
  <c r="M34" i="4" s="1"/>
  <c r="L32" i="4"/>
  <c r="L33" i="4" s="1"/>
  <c r="L34" i="4" s="1"/>
  <c r="K32" i="4"/>
  <c r="K33" i="4" s="1"/>
  <c r="K34" i="4" s="1"/>
  <c r="J32" i="4"/>
  <c r="J33" i="4" s="1"/>
  <c r="J34" i="4" s="1"/>
  <c r="I32" i="4"/>
  <c r="I33" i="4" s="1"/>
  <c r="I34" i="4" s="1"/>
  <c r="H32" i="4"/>
  <c r="H33" i="4" s="1"/>
  <c r="G32" i="4"/>
  <c r="G33" i="4" s="1"/>
  <c r="F32" i="4"/>
  <c r="F33" i="4" s="1"/>
  <c r="E32" i="4"/>
  <c r="D31" i="4"/>
  <c r="C31" i="4"/>
  <c r="B31" i="4"/>
  <c r="AC22" i="4"/>
  <c r="AC23" i="4" s="1"/>
  <c r="AB22" i="4"/>
  <c r="AB23" i="4" s="1"/>
  <c r="AA22" i="4"/>
  <c r="AA23" i="4" s="1"/>
  <c r="Z22" i="4"/>
  <c r="Z23" i="4" s="1"/>
  <c r="Y22" i="4"/>
  <c r="Y23" i="4" s="1"/>
  <c r="X22" i="4"/>
  <c r="X23" i="4" s="1"/>
  <c r="W22" i="4"/>
  <c r="W23" i="4" s="1"/>
  <c r="V22" i="4"/>
  <c r="V23" i="4" s="1"/>
  <c r="U22" i="4"/>
  <c r="U23" i="4" s="1"/>
  <c r="T22" i="4"/>
  <c r="S22" i="4"/>
  <c r="R22" i="4"/>
  <c r="Q22" i="4"/>
  <c r="P22" i="4"/>
  <c r="O22" i="4"/>
  <c r="N22" i="4"/>
  <c r="I22" i="4"/>
  <c r="H22" i="4"/>
  <c r="G22" i="4"/>
  <c r="F22" i="4"/>
  <c r="N23" i="4" s="1"/>
  <c r="E22" i="4"/>
  <c r="D22" i="4"/>
  <c r="C22" i="4"/>
  <c r="B22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B72" i="3"/>
  <c r="B70" i="3"/>
  <c r="B68" i="3"/>
  <c r="B66" i="3"/>
  <c r="B64" i="3"/>
  <c r="B62" i="3"/>
  <c r="B60" i="3"/>
  <c r="B58" i="3"/>
  <c r="B54" i="3"/>
  <c r="B52" i="3"/>
  <c r="B50" i="3"/>
  <c r="B48" i="3"/>
  <c r="B46" i="3"/>
  <c r="B44" i="3"/>
  <c r="B42" i="3"/>
  <c r="B40" i="3"/>
  <c r="B36" i="3"/>
  <c r="B34" i="3"/>
  <c r="B32" i="3"/>
  <c r="B30" i="3"/>
  <c r="B28" i="3"/>
  <c r="B26" i="3"/>
  <c r="B24" i="3"/>
  <c r="B22" i="3"/>
  <c r="B18" i="3"/>
  <c r="B16" i="3"/>
  <c r="B14" i="3"/>
  <c r="B12" i="3"/>
  <c r="B10" i="3"/>
  <c r="B8" i="3"/>
  <c r="B6" i="3"/>
  <c r="B4" i="3"/>
  <c r="R23" i="4" l="1"/>
  <c r="S23" i="4"/>
  <c r="T23" i="4"/>
  <c r="O23" i="4"/>
  <c r="P23" i="4"/>
  <c r="Q23" i="4"/>
  <c r="G12" i="2" l="1"/>
  <c r="F12" i="2"/>
  <c r="E12" i="2"/>
  <c r="D12" i="2"/>
</calcChain>
</file>

<file path=xl/sharedStrings.xml><?xml version="1.0" encoding="utf-8"?>
<sst xmlns="http://schemas.openxmlformats.org/spreadsheetml/2006/main" count="4121" uniqueCount="87">
  <si>
    <t>layer 5</t>
    <phoneticPr fontId="4" type="noConversion"/>
  </si>
  <si>
    <t xml:space="preserve"> ff = apple</t>
  </si>
  <si>
    <t xml:space="preserve"> ff = banana</t>
  </si>
  <si>
    <t xml:space="preserve"> ff = carambola</t>
  </si>
  <si>
    <t xml:space="preserve"> ff = guava</t>
  </si>
  <si>
    <t xml:space="preserve"> ff = muskmelon</t>
  </si>
  <si>
    <t xml:space="preserve"> ff = peach</t>
  </si>
  <si>
    <t xml:space="preserve"> ff = pear</t>
  </si>
  <si>
    <t xml:space="preserve"> ff = tomato</t>
  </si>
  <si>
    <t xml:space="preserve"> ff = banana</t>
    <phoneticPr fontId="4" type="noConversion"/>
  </si>
  <si>
    <t xml:space="preserve"> ff = guava</t>
    <phoneticPr fontId="4" type="noConversion"/>
  </si>
  <si>
    <t xml:space="preserve"> ff = muskmelon</t>
    <phoneticPr fontId="4" type="noConversion"/>
  </si>
  <si>
    <t>to</t>
    <phoneticPr fontId="4" type="noConversion"/>
  </si>
  <si>
    <t>layer 6</t>
    <phoneticPr fontId="4" type="noConversion"/>
  </si>
  <si>
    <t>layer 7</t>
    <phoneticPr fontId="4" type="noConversion"/>
  </si>
  <si>
    <t>layer 8</t>
    <phoneticPr fontId="4" type="noConversion"/>
  </si>
  <si>
    <t>fruit = apple</t>
    <phoneticPr fontId="4" type="noConversion"/>
  </si>
  <si>
    <t>fruit = banana</t>
    <phoneticPr fontId="4" type="noConversion"/>
  </si>
  <si>
    <t>fruit = carambola</t>
    <phoneticPr fontId="4" type="noConversion"/>
  </si>
  <si>
    <t>fruit = guava</t>
    <phoneticPr fontId="4" type="noConversion"/>
  </si>
  <si>
    <t>fruit = muskmelon</t>
    <phoneticPr fontId="4" type="noConversion"/>
  </si>
  <si>
    <t>fruit = peach</t>
    <phoneticPr fontId="4" type="noConversion"/>
  </si>
  <si>
    <t>fruit = pear</t>
    <phoneticPr fontId="4" type="noConversion"/>
  </si>
  <si>
    <t>fruit = tomato</t>
    <phoneticPr fontId="4" type="noConversion"/>
  </si>
  <si>
    <t>Epoch = 150</t>
    <phoneticPr fontId="4" type="noConversion"/>
  </si>
  <si>
    <t>source</t>
    <phoneticPr fontId="4" type="noConversion"/>
  </si>
  <si>
    <t>layer 5</t>
  </si>
  <si>
    <t>layer 6</t>
  </si>
  <si>
    <t>layer 7</t>
  </si>
  <si>
    <t>layer 8</t>
  </si>
  <si>
    <t>avg</t>
    <phoneticPr fontId="4" type="noConversion"/>
  </si>
  <si>
    <t>apple</t>
    <phoneticPr fontId="4" type="noConversion"/>
  </si>
  <si>
    <t>banana</t>
  </si>
  <si>
    <t>carambola</t>
    <phoneticPr fontId="4" type="noConversion"/>
  </si>
  <si>
    <t>guava</t>
    <phoneticPr fontId="4" type="noConversion"/>
  </si>
  <si>
    <t>muskmelon</t>
    <phoneticPr fontId="4" type="noConversion"/>
  </si>
  <si>
    <t>peach</t>
    <phoneticPr fontId="4" type="noConversion"/>
  </si>
  <si>
    <t>pear</t>
    <phoneticPr fontId="4" type="noConversion"/>
  </si>
  <si>
    <t>tomato</t>
    <phoneticPr fontId="4" type="noConversion"/>
  </si>
  <si>
    <t>source file: 150, 100, 50</t>
    <phoneticPr fontId="4" type="noConversion"/>
  </si>
  <si>
    <t>總準確度</t>
    <phoneticPr fontId="4" type="noConversion"/>
  </si>
  <si>
    <t>2 to 1</t>
    <phoneticPr fontId="4" type="noConversion"/>
  </si>
  <si>
    <t>Zhou</t>
    <phoneticPr fontId="4" type="noConversion"/>
  </si>
  <si>
    <t>Tsai (basedline)</t>
    <phoneticPr fontId="4" type="noConversion"/>
  </si>
  <si>
    <t>Ours</t>
    <phoneticPr fontId="4" type="noConversion"/>
  </si>
  <si>
    <t>ELF5</t>
    <phoneticPr fontId="4" type="noConversion"/>
  </si>
  <si>
    <t>ELF6</t>
  </si>
  <si>
    <t>ELF7</t>
  </si>
  <si>
    <t>ELF8</t>
  </si>
  <si>
    <t>ALF5</t>
    <phoneticPr fontId="4" type="noConversion"/>
  </si>
  <si>
    <t>ALF6</t>
  </si>
  <si>
    <t>ALF7</t>
  </si>
  <si>
    <t>ALF8</t>
  </si>
  <si>
    <t>layer5</t>
    <phoneticPr fontId="4" type="noConversion"/>
  </si>
  <si>
    <t>layer6</t>
  </si>
  <si>
    <t>layer7</t>
  </si>
  <si>
    <t>layer8</t>
  </si>
  <si>
    <t>1 Epoch (from similarity)</t>
    <phoneticPr fontId="4" type="noConversion"/>
  </si>
  <si>
    <t>10 Epoch</t>
    <phoneticPr fontId="4" type="noConversion"/>
  </si>
  <si>
    <t>5 Epoch</t>
    <phoneticPr fontId="4" type="noConversion"/>
  </si>
  <si>
    <t>1 Epoch</t>
    <phoneticPr fontId="4" type="noConversion"/>
  </si>
  <si>
    <t>Apple</t>
    <phoneticPr fontId="4" type="noConversion"/>
  </si>
  <si>
    <t>Banana</t>
    <phoneticPr fontId="4" type="noConversion"/>
  </si>
  <si>
    <t>Carambola</t>
    <phoneticPr fontId="4" type="noConversion"/>
  </si>
  <si>
    <t>Guava</t>
    <phoneticPr fontId="4" type="noConversion"/>
  </si>
  <si>
    <t>Muskmelon</t>
    <phoneticPr fontId="4" type="noConversion"/>
  </si>
  <si>
    <t>Peach</t>
    <phoneticPr fontId="4" type="noConversion"/>
  </si>
  <si>
    <t>Pear</t>
    <phoneticPr fontId="4" type="noConversion"/>
  </si>
  <si>
    <t>Tomato</t>
    <phoneticPr fontId="4" type="noConversion"/>
  </si>
  <si>
    <t>Total Average</t>
    <phoneticPr fontId="4" type="noConversion"/>
  </si>
  <si>
    <t>訓練時間 (s)</t>
    <phoneticPr fontId="4" type="noConversion"/>
  </si>
  <si>
    <t>2 to 1</t>
  </si>
  <si>
    <t>Lin</t>
    <phoneticPr fontId="4" type="noConversion"/>
  </si>
  <si>
    <t>Tsai</t>
    <phoneticPr fontId="4" type="noConversion"/>
  </si>
  <si>
    <t>epoch 1</t>
    <phoneticPr fontId="4" type="noConversion"/>
  </si>
  <si>
    <t>epoch 5</t>
    <phoneticPr fontId="4" type="noConversion"/>
  </si>
  <si>
    <t>epoch 10</t>
    <phoneticPr fontId="4" type="noConversion"/>
  </si>
  <si>
    <t>local learning</t>
    <phoneticPr fontId="4" type="noConversion"/>
  </si>
  <si>
    <t>training time/epoch</t>
    <phoneticPr fontId="4" type="noConversion"/>
  </si>
  <si>
    <t>total training time</t>
    <phoneticPr fontId="4" type="noConversion"/>
  </si>
  <si>
    <t>total training time + local-learning</t>
    <phoneticPr fontId="4" type="noConversion"/>
  </si>
  <si>
    <t>total time</t>
    <phoneticPr fontId="4" type="noConversion"/>
  </si>
  <si>
    <t>資料傳輸量</t>
    <phoneticPr fontId="4" type="noConversion"/>
  </si>
  <si>
    <t>ELF5</t>
  </si>
  <si>
    <t>(MB)</t>
    <phoneticPr fontId="4" type="noConversion"/>
  </si>
  <si>
    <t>(byte)</t>
  </si>
  <si>
    <t>Ous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</si>
</sst>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u/>
      <sz val="12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sz val="12"/>
      <color theme="0" tint="-0.499984740745262"/>
      <name val="新細明體"/>
      <family val="1"/>
      <charset val="136"/>
      <scheme val="minor"/>
    </font>
    <font>
      <b/>
      <sz val="12"/>
      <color theme="0" tint="-0.499984740745262"/>
      <name val="新細明體"/>
      <family val="1"/>
      <charset val="136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FAFE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137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0" borderId="0" xfId="0" applyFill="1">
      <alignment vertical="center"/>
    </xf>
    <xf numFmtId="0" fontId="0" fillId="3" borderId="0" xfId="0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5" fillId="3" borderId="0" xfId="0" applyFont="1" applyFill="1">
      <alignment vertical="center"/>
    </xf>
    <xf numFmtId="0" fontId="5" fillId="0" borderId="0" xfId="0" applyFont="1" applyFill="1">
      <alignment vertical="center"/>
    </xf>
    <xf numFmtId="0" fontId="6" fillId="0" borderId="0" xfId="0" applyFont="1" applyFill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2" borderId="0" xfId="2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7" fillId="0" borderId="0" xfId="2" applyFont="1" applyFill="1" applyAlignment="1">
      <alignment horizontal="left" vertical="center"/>
    </xf>
    <xf numFmtId="0" fontId="8" fillId="0" borderId="0" xfId="2" applyFont="1" applyFill="1" applyAlignment="1">
      <alignment horizontal="left"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8" fillId="3" borderId="0" xfId="0" applyFont="1" applyFill="1">
      <alignment vertical="center"/>
    </xf>
    <xf numFmtId="0" fontId="8" fillId="0" borderId="0" xfId="0" applyFont="1" applyFill="1">
      <alignment vertical="center"/>
    </xf>
    <xf numFmtId="0" fontId="8" fillId="0" borderId="0" xfId="0" applyFont="1">
      <alignment vertical="center"/>
    </xf>
    <xf numFmtId="0" fontId="8" fillId="3" borderId="0" xfId="0" applyFont="1" applyFill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2" fontId="10" fillId="0" borderId="1" xfId="0" applyNumberFormat="1" applyFont="1" applyFill="1" applyBorder="1" applyAlignment="1">
      <alignment horizontal="left" vertical="center"/>
    </xf>
    <xf numFmtId="2" fontId="8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176" fontId="8" fillId="12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2" fontId="0" fillId="15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16" borderId="1" xfId="0" applyNumberForma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2" fontId="10" fillId="15" borderId="1" xfId="0" applyNumberFormat="1" applyFont="1" applyFill="1" applyBorder="1" applyAlignment="1">
      <alignment horizontal="center" vertical="center"/>
    </xf>
    <xf numFmtId="2" fontId="10" fillId="3" borderId="1" xfId="0" applyNumberFormat="1" applyFont="1" applyFill="1" applyBorder="1" applyAlignment="1">
      <alignment horizontal="center" vertical="center"/>
    </xf>
    <xf numFmtId="2" fontId="10" fillId="16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2" fontId="10" fillId="15" borderId="1" xfId="0" applyNumberFormat="1" applyFont="1" applyFill="1" applyBorder="1" applyAlignment="1">
      <alignment horizontal="left" vertical="center"/>
    </xf>
    <xf numFmtId="2" fontId="10" fillId="3" borderId="1" xfId="0" applyNumberFormat="1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2" fontId="0" fillId="15" borderId="1" xfId="1" applyNumberFormat="1" applyFont="1" applyFill="1" applyBorder="1" applyAlignment="1">
      <alignment horizontal="center" vertical="center"/>
    </xf>
    <xf numFmtId="2" fontId="0" fillId="3" borderId="1" xfId="1" applyNumberFormat="1" applyFont="1" applyFill="1" applyBorder="1" applyAlignment="1">
      <alignment horizontal="center" vertical="center"/>
    </xf>
    <xf numFmtId="2" fontId="0" fillId="16" borderId="1" xfId="1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2" fontId="10" fillId="0" borderId="1" xfId="0" applyNumberFormat="1" applyFont="1" applyFill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176" fontId="8" fillId="17" borderId="1" xfId="0" applyNumberFormat="1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176" fontId="8" fillId="18" borderId="1" xfId="0" applyNumberFormat="1" applyFont="1" applyFill="1" applyBorder="1" applyAlignment="1">
      <alignment horizontal="center" vertical="center"/>
    </xf>
    <xf numFmtId="176" fontId="8" fillId="19" borderId="1" xfId="0" applyNumberFormat="1" applyFont="1" applyFill="1" applyBorder="1" applyAlignment="1">
      <alignment horizontal="center" vertical="center"/>
    </xf>
    <xf numFmtId="176" fontId="8" fillId="15" borderId="1" xfId="0" applyNumberFormat="1" applyFont="1" applyFill="1" applyBorder="1" applyAlignment="1">
      <alignment horizontal="center" vertical="center"/>
    </xf>
    <xf numFmtId="176" fontId="8" fillId="3" borderId="1" xfId="0" applyNumberFormat="1" applyFont="1" applyFill="1" applyBorder="1" applyAlignment="1">
      <alignment horizontal="center" vertical="center"/>
    </xf>
    <xf numFmtId="2" fontId="8" fillId="16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center" vertical="center"/>
    </xf>
    <xf numFmtId="176" fontId="8" fillId="16" borderId="1" xfId="0" applyNumberFormat="1" applyFont="1" applyFill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0" fontId="11" fillId="19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176" fontId="11" fillId="16" borderId="1" xfId="0" applyNumberFormat="1" applyFont="1" applyFill="1" applyBorder="1" applyAlignment="1">
      <alignment horizontal="center" vertical="center"/>
    </xf>
    <xf numFmtId="176" fontId="8" fillId="10" borderId="1" xfId="0" applyNumberFormat="1" applyFont="1" applyFill="1" applyBorder="1" applyAlignment="1">
      <alignment horizontal="center" vertical="center"/>
    </xf>
    <xf numFmtId="176" fontId="8" fillId="8" borderId="1" xfId="0" applyNumberFormat="1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2" fontId="11" fillId="16" borderId="1" xfId="0" applyNumberFormat="1" applyFont="1" applyFill="1" applyBorder="1" applyAlignment="1">
      <alignment horizontal="center" vertical="center"/>
    </xf>
    <xf numFmtId="176" fontId="11" fillId="12" borderId="1" xfId="0" applyNumberFormat="1" applyFont="1" applyFill="1" applyBorder="1" applyAlignment="1">
      <alignment horizontal="center" vertical="center"/>
    </xf>
    <xf numFmtId="2" fontId="0" fillId="3" borderId="3" xfId="0" applyNumberFormat="1" applyFill="1" applyBorder="1" applyAlignment="1">
      <alignment horizontal="center" vertical="center"/>
    </xf>
    <xf numFmtId="2" fontId="10" fillId="3" borderId="3" xfId="0" applyNumberFormat="1" applyFont="1" applyFill="1" applyBorder="1" applyAlignment="1">
      <alignment horizontal="center" vertical="center"/>
    </xf>
    <xf numFmtId="2" fontId="10" fillId="3" borderId="3" xfId="0" applyNumberFormat="1" applyFont="1" applyFill="1" applyBorder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176" fontId="8" fillId="12" borderId="5" xfId="0" applyNumberFormat="1" applyFont="1" applyFill="1" applyBorder="1" applyAlignment="1">
      <alignment horizontal="center" vertical="center"/>
    </xf>
    <xf numFmtId="2" fontId="0" fillId="16" borderId="5" xfId="0" applyNumberFormat="1" applyFill="1" applyBorder="1" applyAlignment="1">
      <alignment horizontal="center" vertical="center"/>
    </xf>
    <xf numFmtId="2" fontId="10" fillId="16" borderId="5" xfId="0" applyNumberFormat="1" applyFont="1" applyFill="1" applyBorder="1" applyAlignment="1">
      <alignment horizontal="center" vertical="center"/>
    </xf>
    <xf numFmtId="2" fontId="0" fillId="16" borderId="5" xfId="1" applyNumberFormat="1" applyFont="1" applyFill="1" applyBorder="1" applyAlignment="1">
      <alignment horizontal="center" vertical="center"/>
    </xf>
    <xf numFmtId="2" fontId="10" fillId="0" borderId="5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176" fontId="11" fillId="12" borderId="10" xfId="0" applyNumberFormat="1" applyFont="1" applyFill="1" applyBorder="1" applyAlignment="1">
      <alignment horizontal="center" vertical="center"/>
    </xf>
    <xf numFmtId="176" fontId="11" fillId="12" borderId="11" xfId="0" applyNumberFormat="1" applyFont="1" applyFill="1" applyBorder="1" applyAlignment="1">
      <alignment horizontal="center" vertical="center"/>
    </xf>
    <xf numFmtId="2" fontId="11" fillId="16" borderId="10" xfId="0" applyNumberFormat="1" applyFont="1" applyFill="1" applyBorder="1" applyAlignment="1">
      <alignment horizontal="center" vertical="center"/>
    </xf>
    <xf numFmtId="2" fontId="11" fillId="16" borderId="11" xfId="0" applyNumberFormat="1" applyFont="1" applyFill="1" applyBorder="1" applyAlignment="1">
      <alignment horizontal="center" vertical="center"/>
    </xf>
    <xf numFmtId="2" fontId="10" fillId="16" borderId="10" xfId="0" applyNumberFormat="1" applyFont="1" applyFill="1" applyBorder="1" applyAlignment="1">
      <alignment horizontal="center" vertical="center"/>
    </xf>
    <xf numFmtId="2" fontId="10" fillId="16" borderId="11" xfId="0" applyNumberFormat="1" applyFont="1" applyFill="1" applyBorder="1" applyAlignment="1">
      <alignment horizontal="center" vertical="center"/>
    </xf>
    <xf numFmtId="2" fontId="10" fillId="16" borderId="12" xfId="0" applyNumberFormat="1" applyFont="1" applyFill="1" applyBorder="1" applyAlignment="1">
      <alignment horizontal="center" vertical="center"/>
    </xf>
    <xf numFmtId="2" fontId="10" fillId="16" borderId="13" xfId="0" applyNumberFormat="1" applyFont="1" applyFill="1" applyBorder="1" applyAlignment="1">
      <alignment horizontal="center" vertical="center"/>
    </xf>
    <xf numFmtId="2" fontId="10" fillId="16" borderId="14" xfId="0" applyNumberFormat="1" applyFont="1" applyFill="1" applyBorder="1" applyAlignment="1">
      <alignment horizontal="center" vertical="center"/>
    </xf>
    <xf numFmtId="2" fontId="11" fillId="12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76" fontId="8" fillId="1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8" fillId="10" borderId="1" xfId="0" applyNumberFormat="1" applyFont="1" applyFill="1" applyBorder="1" applyAlignment="1">
      <alignment horizontal="center" vertical="center"/>
    </xf>
    <xf numFmtId="176" fontId="8" fillId="8" borderId="1" xfId="0" applyNumberFormat="1" applyFont="1" applyFill="1" applyBorder="1" applyAlignment="1">
      <alignment horizontal="center" vertical="center"/>
    </xf>
    <xf numFmtId="176" fontId="8" fillId="8" borderId="3" xfId="0" applyNumberFormat="1" applyFont="1" applyFill="1" applyBorder="1" applyAlignment="1">
      <alignment horizontal="center" vertical="center"/>
    </xf>
    <xf numFmtId="176" fontId="8" fillId="12" borderId="5" xfId="0" applyNumberFormat="1" applyFont="1" applyFill="1" applyBorder="1" applyAlignment="1">
      <alignment horizontal="center" vertical="center"/>
    </xf>
    <xf numFmtId="176" fontId="11" fillId="12" borderId="10" xfId="0" applyNumberFormat="1" applyFont="1" applyFill="1" applyBorder="1" applyAlignment="1">
      <alignment horizontal="center" vertical="center"/>
    </xf>
    <xf numFmtId="176" fontId="11" fillId="12" borderId="1" xfId="0" applyNumberFormat="1" applyFont="1" applyFill="1" applyBorder="1" applyAlignment="1">
      <alignment horizontal="center" vertical="center"/>
    </xf>
    <xf numFmtId="176" fontId="11" fillId="12" borderId="11" xfId="0" applyNumberFormat="1" applyFont="1" applyFill="1" applyBorder="1" applyAlignment="1">
      <alignment horizontal="center" vertical="center"/>
    </xf>
    <xf numFmtId="176" fontId="8" fillId="12" borderId="4" xfId="0" applyNumberFormat="1" applyFont="1" applyFill="1" applyBorder="1" applyAlignment="1">
      <alignment horizontal="center" vertical="center"/>
    </xf>
    <xf numFmtId="176" fontId="11" fillId="12" borderId="7" xfId="0" applyNumberFormat="1" applyFont="1" applyFill="1" applyBorder="1" applyAlignment="1">
      <alignment horizontal="center" vertical="center"/>
    </xf>
    <xf numFmtId="176" fontId="11" fillId="12" borderId="8" xfId="0" applyNumberFormat="1" applyFont="1" applyFill="1" applyBorder="1" applyAlignment="1">
      <alignment horizontal="center" vertical="center"/>
    </xf>
    <xf numFmtId="176" fontId="11" fillId="12" borderId="9" xfId="0" applyNumberFormat="1" applyFont="1" applyFill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76" fontId="8" fillId="9" borderId="1" xfId="0" applyNumberFormat="1" applyFont="1" applyFill="1" applyBorder="1" applyAlignment="1">
      <alignment horizontal="center" vertical="center"/>
    </xf>
    <xf numFmtId="9" fontId="10" fillId="0" borderId="1" xfId="1" applyFont="1" applyBorder="1" applyAlignment="1">
      <alignment horizontal="center" vertical="center"/>
    </xf>
    <xf numFmtId="176" fontId="8" fillId="12" borderId="3" xfId="0" applyNumberFormat="1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vertical="center"/>
    </xf>
    <xf numFmtId="176" fontId="12" fillId="12" borderId="1" xfId="0" applyNumberFormat="1" applyFont="1" applyFill="1" applyBorder="1" applyAlignment="1">
      <alignment vertical="center"/>
    </xf>
    <xf numFmtId="176" fontId="12" fillId="12" borderId="1" xfId="0" applyNumberFormat="1" applyFont="1" applyFill="1" applyBorder="1" applyAlignment="1">
      <alignment horizontal="center" vertical="center"/>
    </xf>
    <xf numFmtId="176" fontId="12" fillId="12" borderId="1" xfId="0" applyNumberFormat="1" applyFont="1" applyFill="1" applyBorder="1" applyAlignment="1">
      <alignment horizontal="center" vertical="center"/>
    </xf>
    <xf numFmtId="0" fontId="12" fillId="16" borderId="1" xfId="0" applyFont="1" applyFill="1" applyBorder="1" applyAlignment="1">
      <alignment horizontal="center" vertical="center"/>
    </xf>
    <xf numFmtId="0" fontId="13" fillId="17" borderId="1" xfId="0" applyFont="1" applyFill="1" applyBorder="1" applyAlignment="1">
      <alignment vertical="center"/>
    </xf>
    <xf numFmtId="176" fontId="12" fillId="16" borderId="1" xfId="0" applyNumberFormat="1" applyFont="1" applyFill="1" applyBorder="1" applyAlignment="1">
      <alignment horizontal="center" vertical="center"/>
    </xf>
    <xf numFmtId="176" fontId="13" fillId="16" borderId="1" xfId="0" applyNumberFormat="1" applyFont="1" applyFill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</cellXfs>
  <cellStyles count="3">
    <cellStyle name="一般" xfId="0" builtinId="0"/>
    <cellStyle name="百分比" xfId="1" builtinId="5"/>
    <cellStyle name="壞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9B34B-9453-4C07-95D2-858534E6AB2E}">
  <dimension ref="A1:BL360"/>
  <sheetViews>
    <sheetView topLeftCell="U1" zoomScale="55" zoomScaleNormal="55" workbookViewId="0">
      <selection activeCell="D1" sqref="D1:BI17"/>
    </sheetView>
  </sheetViews>
  <sheetFormatPr defaultRowHeight="16.5" x14ac:dyDescent="0.25"/>
  <cols>
    <col min="1" max="1" width="15.75" style="12" customWidth="1"/>
    <col min="3" max="3" width="8.875" style="2"/>
  </cols>
  <sheetData>
    <row r="1" spans="1:64" x14ac:dyDescent="0.25">
      <c r="A1" s="7" t="s">
        <v>0</v>
      </c>
      <c r="B1" s="2"/>
      <c r="D1" s="100" t="s">
        <v>0</v>
      </c>
      <c r="E1" s="100"/>
      <c r="F1" s="1">
        <v>1</v>
      </c>
      <c r="G1" s="2"/>
      <c r="H1" s="1">
        <v>2</v>
      </c>
      <c r="I1" s="2"/>
      <c r="J1" s="1">
        <v>3</v>
      </c>
      <c r="K1" s="2"/>
      <c r="L1" s="1">
        <v>4</v>
      </c>
      <c r="M1" s="2"/>
      <c r="N1" s="1">
        <v>5</v>
      </c>
      <c r="O1" s="2"/>
      <c r="P1" s="1">
        <v>6</v>
      </c>
      <c r="Q1" s="2"/>
      <c r="R1" s="1">
        <v>7</v>
      </c>
      <c r="S1" s="2"/>
      <c r="T1" s="1">
        <v>1</v>
      </c>
      <c r="U1" s="2"/>
      <c r="V1" s="1">
        <v>2</v>
      </c>
      <c r="W1" s="2"/>
      <c r="X1" s="1">
        <v>3</v>
      </c>
      <c r="Y1" s="2"/>
      <c r="Z1" s="1">
        <v>4</v>
      </c>
      <c r="AA1" s="2"/>
      <c r="AB1" s="1">
        <v>5</v>
      </c>
      <c r="AC1" s="2"/>
      <c r="AD1" s="1">
        <v>6</v>
      </c>
      <c r="AE1" s="2"/>
      <c r="AF1" s="1">
        <v>1</v>
      </c>
      <c r="AG1" s="2"/>
      <c r="AH1" s="1">
        <v>2</v>
      </c>
      <c r="AI1" s="2"/>
      <c r="AJ1" s="1">
        <v>3</v>
      </c>
      <c r="AK1" s="2"/>
      <c r="AL1" s="1">
        <v>4</v>
      </c>
      <c r="AM1" s="2"/>
      <c r="AN1" s="1">
        <v>5</v>
      </c>
      <c r="AO1" s="2"/>
      <c r="AP1" s="1">
        <v>1</v>
      </c>
      <c r="AQ1" s="2"/>
      <c r="AR1" s="1">
        <v>2</v>
      </c>
      <c r="AS1" s="2"/>
      <c r="AT1" s="1">
        <v>3</v>
      </c>
      <c r="AU1" s="2"/>
      <c r="AV1" s="1">
        <v>4</v>
      </c>
      <c r="AW1" s="2"/>
      <c r="AX1" s="1">
        <v>1</v>
      </c>
      <c r="AY1" s="2"/>
      <c r="AZ1" s="1">
        <v>2</v>
      </c>
      <c r="BA1" s="2"/>
      <c r="BB1" s="1">
        <v>3</v>
      </c>
      <c r="BC1" s="2"/>
      <c r="BD1" s="1">
        <v>1</v>
      </c>
      <c r="BE1" s="2"/>
      <c r="BF1" s="1">
        <v>2</v>
      </c>
      <c r="BG1" s="2"/>
      <c r="BH1" s="1">
        <v>1</v>
      </c>
      <c r="BI1" s="2"/>
      <c r="BK1" s="2"/>
      <c r="BL1" s="2"/>
    </row>
    <row r="2" spans="1:64" x14ac:dyDescent="0.25">
      <c r="A2" s="8">
        <v>100</v>
      </c>
      <c r="B2" s="8">
        <v>1</v>
      </c>
      <c r="C2" s="20"/>
      <c r="D2" s="100"/>
      <c r="E2" s="100"/>
      <c r="F2" s="1" t="s">
        <v>1</v>
      </c>
      <c r="G2" s="2" t="s">
        <v>2</v>
      </c>
      <c r="H2" s="1" t="s">
        <v>1</v>
      </c>
      <c r="I2" s="2" t="s">
        <v>3</v>
      </c>
      <c r="J2" s="1" t="s">
        <v>1</v>
      </c>
      <c r="K2" s="2" t="s">
        <v>4</v>
      </c>
      <c r="L2" s="1" t="s">
        <v>1</v>
      </c>
      <c r="M2" s="2" t="s">
        <v>5</v>
      </c>
      <c r="N2" s="1" t="s">
        <v>1</v>
      </c>
      <c r="O2" s="2" t="s">
        <v>6</v>
      </c>
      <c r="P2" s="1" t="s">
        <v>1</v>
      </c>
      <c r="Q2" s="2" t="s">
        <v>7</v>
      </c>
      <c r="R2" s="1" t="s">
        <v>1</v>
      </c>
      <c r="S2" s="2" t="s">
        <v>8</v>
      </c>
      <c r="T2" s="3" t="s">
        <v>9</v>
      </c>
      <c r="U2" s="4" t="s">
        <v>3</v>
      </c>
      <c r="V2" s="3" t="s">
        <v>9</v>
      </c>
      <c r="W2" s="4" t="s">
        <v>10</v>
      </c>
      <c r="X2" s="3" t="s">
        <v>9</v>
      </c>
      <c r="Y2" s="4" t="s">
        <v>11</v>
      </c>
      <c r="Z2" s="3" t="s">
        <v>9</v>
      </c>
      <c r="AA2" s="4" t="s">
        <v>6</v>
      </c>
      <c r="AB2" s="3" t="s">
        <v>9</v>
      </c>
      <c r="AC2" s="4" t="s">
        <v>7</v>
      </c>
      <c r="AD2" s="3" t="s">
        <v>9</v>
      </c>
      <c r="AE2" s="4" t="s">
        <v>8</v>
      </c>
      <c r="AF2" s="3" t="s">
        <v>3</v>
      </c>
      <c r="AG2" s="4" t="s">
        <v>10</v>
      </c>
      <c r="AH2" s="3" t="s">
        <v>3</v>
      </c>
      <c r="AI2" s="4" t="s">
        <v>11</v>
      </c>
      <c r="AJ2" s="3" t="s">
        <v>3</v>
      </c>
      <c r="AK2" s="4" t="s">
        <v>6</v>
      </c>
      <c r="AL2" s="3" t="s">
        <v>3</v>
      </c>
      <c r="AM2" s="4" t="s">
        <v>7</v>
      </c>
      <c r="AN2" s="3" t="s">
        <v>3</v>
      </c>
      <c r="AO2" s="4" t="s">
        <v>8</v>
      </c>
      <c r="AP2" s="3" t="s">
        <v>10</v>
      </c>
      <c r="AQ2" s="4" t="s">
        <v>11</v>
      </c>
      <c r="AR2" s="3" t="s">
        <v>10</v>
      </c>
      <c r="AS2" s="4" t="s">
        <v>6</v>
      </c>
      <c r="AT2" s="3" t="s">
        <v>10</v>
      </c>
      <c r="AU2" s="4" t="s">
        <v>7</v>
      </c>
      <c r="AV2" s="3" t="s">
        <v>10</v>
      </c>
      <c r="AW2" s="4" t="s">
        <v>8</v>
      </c>
      <c r="AX2" s="3" t="s">
        <v>11</v>
      </c>
      <c r="AY2" s="4" t="s">
        <v>6</v>
      </c>
      <c r="AZ2" s="3" t="s">
        <v>11</v>
      </c>
      <c r="BA2" s="4" t="s">
        <v>7</v>
      </c>
      <c r="BB2" s="3" t="s">
        <v>11</v>
      </c>
      <c r="BC2" s="4" t="s">
        <v>8</v>
      </c>
      <c r="BD2" s="3" t="s">
        <v>6</v>
      </c>
      <c r="BE2" s="4" t="s">
        <v>7</v>
      </c>
      <c r="BF2" s="3" t="s">
        <v>6</v>
      </c>
      <c r="BG2" s="4" t="s">
        <v>8</v>
      </c>
      <c r="BH2" s="3" t="s">
        <v>7</v>
      </c>
      <c r="BI2" s="4" t="s">
        <v>8</v>
      </c>
      <c r="BK2" s="2"/>
      <c r="BL2" s="2"/>
    </row>
    <row r="3" spans="1:64" x14ac:dyDescent="0.25">
      <c r="A3" s="9"/>
      <c r="B3" s="17">
        <v>0.96226999999999996</v>
      </c>
      <c r="D3" t="s">
        <v>12</v>
      </c>
      <c r="E3" t="s">
        <v>1</v>
      </c>
      <c r="F3" s="5">
        <v>0.96226999999999996</v>
      </c>
      <c r="G3" s="2">
        <v>0.78271000000000002</v>
      </c>
      <c r="H3" s="5">
        <v>0.96226999999999996</v>
      </c>
      <c r="I3" s="2">
        <v>0.73337000000000008</v>
      </c>
      <c r="J3" s="5">
        <v>0.96226999999999996</v>
      </c>
      <c r="K3" s="2">
        <v>0.55554999999999999</v>
      </c>
      <c r="L3" s="5">
        <v>0.96226999999999996</v>
      </c>
      <c r="M3" s="2">
        <v>0.30555999999999994</v>
      </c>
      <c r="N3" s="5">
        <v>0.96226999999999996</v>
      </c>
      <c r="O3" s="2">
        <v>0.57022000000000006</v>
      </c>
      <c r="P3" s="5">
        <v>0.96226999999999996</v>
      </c>
      <c r="Q3" s="2">
        <v>0.86187999999999998</v>
      </c>
      <c r="R3" s="5">
        <v>0.96226999999999996</v>
      </c>
      <c r="S3" s="2">
        <v>0.73250000000000004</v>
      </c>
      <c r="T3" s="1">
        <v>0.78271000000000002</v>
      </c>
      <c r="U3" s="2">
        <v>0.73337000000000008</v>
      </c>
      <c r="V3" s="1">
        <v>0.78271000000000002</v>
      </c>
      <c r="W3" s="2">
        <v>0.55554999999999999</v>
      </c>
      <c r="X3" s="1">
        <v>0.78271000000000002</v>
      </c>
      <c r="Y3" s="2">
        <v>0.30555999999999994</v>
      </c>
      <c r="Z3" s="1">
        <v>0.78271000000000002</v>
      </c>
      <c r="AA3" s="2">
        <v>0.57022000000000006</v>
      </c>
      <c r="AB3" s="1">
        <v>0.78271000000000002</v>
      </c>
      <c r="AC3" s="2">
        <v>0.86187999999999998</v>
      </c>
      <c r="AD3" s="1">
        <v>0.78271000000000002</v>
      </c>
      <c r="AE3" s="2">
        <v>0.73250000000000004</v>
      </c>
      <c r="AF3" s="1">
        <v>0.73337000000000008</v>
      </c>
      <c r="AG3" s="2">
        <v>0.55554999999999999</v>
      </c>
      <c r="AH3" s="1">
        <v>0.73337000000000008</v>
      </c>
      <c r="AI3" s="2">
        <v>0.30555999999999994</v>
      </c>
      <c r="AJ3" s="1">
        <v>0.73337000000000008</v>
      </c>
      <c r="AK3" s="2">
        <v>0.57022000000000006</v>
      </c>
      <c r="AL3" s="1">
        <v>0.73337000000000008</v>
      </c>
      <c r="AM3" s="2">
        <v>0.86187999999999998</v>
      </c>
      <c r="AN3" s="1">
        <v>0.73337000000000008</v>
      </c>
      <c r="AO3" s="2">
        <v>0.73250000000000004</v>
      </c>
      <c r="AP3" s="1">
        <v>0.55554999999999999</v>
      </c>
      <c r="AQ3" s="2">
        <v>0.30555999999999994</v>
      </c>
      <c r="AR3" s="1">
        <v>0.55554999999999999</v>
      </c>
      <c r="AS3" s="2">
        <v>0.57022000000000006</v>
      </c>
      <c r="AT3" s="1">
        <v>0.55554999999999999</v>
      </c>
      <c r="AU3" s="2">
        <v>0.86187999999999998</v>
      </c>
      <c r="AV3" s="1">
        <v>0.55554999999999999</v>
      </c>
      <c r="AW3" s="2">
        <v>0.73250000000000004</v>
      </c>
      <c r="AX3" s="1">
        <v>0.30555999999999994</v>
      </c>
      <c r="AY3" s="2">
        <v>0.57022000000000006</v>
      </c>
      <c r="AZ3" s="1">
        <v>0.30555999999999994</v>
      </c>
      <c r="BA3" s="2">
        <v>0.86187999999999998</v>
      </c>
      <c r="BB3" s="1">
        <v>0.30555999999999994</v>
      </c>
      <c r="BC3" s="2">
        <v>0.73250000000000004</v>
      </c>
      <c r="BD3" s="1">
        <v>0.57022000000000006</v>
      </c>
      <c r="BE3" s="2">
        <v>0.86187999999999998</v>
      </c>
      <c r="BF3" s="1">
        <v>0.57022000000000006</v>
      </c>
      <c r="BG3" s="2">
        <v>0.73250000000000004</v>
      </c>
      <c r="BH3" s="1">
        <v>0.86187999999999998</v>
      </c>
      <c r="BI3" s="2">
        <v>0.73250000000000004</v>
      </c>
      <c r="BK3" s="2"/>
      <c r="BL3" s="2"/>
    </row>
    <row r="4" spans="1:64" x14ac:dyDescent="0.25">
      <c r="A4" s="10" t="s">
        <v>16</v>
      </c>
      <c r="B4" s="18">
        <v>2200</v>
      </c>
      <c r="E4" s="6"/>
      <c r="F4" s="1" t="s">
        <v>1</v>
      </c>
      <c r="G4" s="2" t="s">
        <v>2</v>
      </c>
      <c r="H4" s="1" t="s">
        <v>1</v>
      </c>
      <c r="I4" s="2" t="s">
        <v>3</v>
      </c>
      <c r="J4" s="1" t="s">
        <v>1</v>
      </c>
      <c r="K4" s="2" t="s">
        <v>4</v>
      </c>
      <c r="L4" s="1" t="s">
        <v>1</v>
      </c>
      <c r="M4" s="2" t="s">
        <v>5</v>
      </c>
      <c r="N4" s="1" t="s">
        <v>1</v>
      </c>
      <c r="O4" s="2" t="s">
        <v>6</v>
      </c>
      <c r="P4" s="1" t="s">
        <v>1</v>
      </c>
      <c r="Q4" s="2" t="s">
        <v>7</v>
      </c>
      <c r="R4" s="1" t="s">
        <v>1</v>
      </c>
      <c r="S4" s="2" t="s">
        <v>8</v>
      </c>
      <c r="T4" s="3" t="s">
        <v>9</v>
      </c>
      <c r="U4" s="4" t="s">
        <v>3</v>
      </c>
      <c r="V4" s="3" t="s">
        <v>9</v>
      </c>
      <c r="W4" s="4" t="s">
        <v>10</v>
      </c>
      <c r="X4" s="3" t="s">
        <v>9</v>
      </c>
      <c r="Y4" s="4" t="s">
        <v>11</v>
      </c>
      <c r="Z4" s="3" t="s">
        <v>9</v>
      </c>
      <c r="AA4" s="4" t="s">
        <v>6</v>
      </c>
      <c r="AB4" s="3" t="s">
        <v>9</v>
      </c>
      <c r="AC4" s="4" t="s">
        <v>7</v>
      </c>
      <c r="AD4" s="3" t="s">
        <v>9</v>
      </c>
      <c r="AE4" s="4" t="s">
        <v>8</v>
      </c>
      <c r="AF4" s="3" t="s">
        <v>3</v>
      </c>
      <c r="AG4" s="4" t="s">
        <v>10</v>
      </c>
      <c r="AH4" s="3" t="s">
        <v>3</v>
      </c>
      <c r="AI4" s="4" t="s">
        <v>11</v>
      </c>
      <c r="AJ4" s="3" t="s">
        <v>3</v>
      </c>
      <c r="AK4" s="4" t="s">
        <v>6</v>
      </c>
      <c r="AL4" s="3" t="s">
        <v>3</v>
      </c>
      <c r="AM4" s="4" t="s">
        <v>7</v>
      </c>
      <c r="AN4" s="3" t="s">
        <v>3</v>
      </c>
      <c r="AO4" s="4" t="s">
        <v>8</v>
      </c>
      <c r="AP4" s="3" t="s">
        <v>10</v>
      </c>
      <c r="AQ4" s="4" t="s">
        <v>11</v>
      </c>
      <c r="AR4" s="3" t="s">
        <v>10</v>
      </c>
      <c r="AS4" s="4" t="s">
        <v>6</v>
      </c>
      <c r="AT4" s="3" t="s">
        <v>10</v>
      </c>
      <c r="AU4" s="4" t="s">
        <v>7</v>
      </c>
      <c r="AV4" s="3" t="s">
        <v>10</v>
      </c>
      <c r="AW4" s="4" t="s">
        <v>8</v>
      </c>
      <c r="AX4" s="3" t="s">
        <v>11</v>
      </c>
      <c r="AY4" s="4" t="s">
        <v>6</v>
      </c>
      <c r="AZ4" s="3" t="s">
        <v>11</v>
      </c>
      <c r="BA4" s="4" t="s">
        <v>7</v>
      </c>
      <c r="BB4" s="3" t="s">
        <v>11</v>
      </c>
      <c r="BC4" s="4" t="s">
        <v>8</v>
      </c>
      <c r="BD4" s="3" t="s">
        <v>6</v>
      </c>
      <c r="BE4" s="4" t="s">
        <v>7</v>
      </c>
      <c r="BF4" s="3" t="s">
        <v>6</v>
      </c>
      <c r="BG4" s="4" t="s">
        <v>8</v>
      </c>
      <c r="BH4" s="3" t="s">
        <v>7</v>
      </c>
      <c r="BI4" s="4" t="s">
        <v>8</v>
      </c>
      <c r="BK4" s="2"/>
      <c r="BL4" s="2"/>
    </row>
    <row r="5" spans="1:64" x14ac:dyDescent="0.25">
      <c r="A5" s="11" t="s">
        <v>1</v>
      </c>
      <c r="B5">
        <v>0.96226999999999996</v>
      </c>
      <c r="D5" t="s">
        <v>12</v>
      </c>
      <c r="E5" t="s">
        <v>2</v>
      </c>
      <c r="F5" s="1">
        <v>0.89576000000000011</v>
      </c>
      <c r="G5" s="2">
        <v>0.99726000000000015</v>
      </c>
      <c r="H5" s="1">
        <v>0.89576000000000011</v>
      </c>
      <c r="I5" s="2">
        <v>0.81639000000000017</v>
      </c>
      <c r="J5" s="1">
        <v>0.89576000000000011</v>
      </c>
      <c r="K5" s="2">
        <v>0.59975999999999996</v>
      </c>
      <c r="L5" s="1">
        <v>0.89576000000000011</v>
      </c>
      <c r="M5" s="2">
        <v>0.34916999999999998</v>
      </c>
      <c r="N5" s="1">
        <v>0.89576000000000011</v>
      </c>
      <c r="O5" s="2">
        <v>0.55703999999999998</v>
      </c>
      <c r="P5" s="1">
        <v>0.89576000000000011</v>
      </c>
      <c r="Q5" s="2">
        <v>0.7793699999999999</v>
      </c>
      <c r="R5" s="1">
        <v>0.89576000000000011</v>
      </c>
      <c r="S5" s="2">
        <v>0.62480000000000002</v>
      </c>
      <c r="T5" s="1">
        <v>0.99726000000000015</v>
      </c>
      <c r="U5" s="2">
        <v>0.81639000000000017</v>
      </c>
      <c r="V5" s="1">
        <v>0.99726000000000015</v>
      </c>
      <c r="W5" s="2">
        <v>0.59975999999999996</v>
      </c>
      <c r="X5" s="1">
        <v>0.99726000000000015</v>
      </c>
      <c r="Y5" s="2">
        <v>0.34916999999999998</v>
      </c>
      <c r="Z5" s="1">
        <v>0.99726000000000015</v>
      </c>
      <c r="AA5" s="2">
        <v>0.55703999999999998</v>
      </c>
      <c r="AB5" s="1">
        <v>0.99726000000000015</v>
      </c>
      <c r="AC5" s="2">
        <v>0.7793699999999999</v>
      </c>
      <c r="AD5" s="1">
        <v>0.99726000000000015</v>
      </c>
      <c r="AE5" s="2">
        <v>0.62480000000000002</v>
      </c>
      <c r="AF5" s="1">
        <v>0.81639000000000017</v>
      </c>
      <c r="AG5" s="2">
        <v>0.59975999999999996</v>
      </c>
      <c r="AH5" s="1">
        <v>0.81639000000000017</v>
      </c>
      <c r="AI5" s="2">
        <v>0.34916999999999998</v>
      </c>
      <c r="AJ5" s="1">
        <v>0.81639000000000017</v>
      </c>
      <c r="AK5" s="2">
        <v>0.55703999999999998</v>
      </c>
      <c r="AL5" s="1">
        <v>0.81639000000000017</v>
      </c>
      <c r="AM5" s="2">
        <v>0.7793699999999999</v>
      </c>
      <c r="AN5" s="1">
        <v>0.81639000000000017</v>
      </c>
      <c r="AO5" s="2">
        <v>0.62480000000000002</v>
      </c>
      <c r="AP5" s="1">
        <v>0.59975999999999996</v>
      </c>
      <c r="AQ5" s="2">
        <v>0.34916999999999998</v>
      </c>
      <c r="AR5" s="1">
        <v>0.59975999999999996</v>
      </c>
      <c r="AS5" s="2">
        <v>0.55703999999999998</v>
      </c>
      <c r="AT5" s="1">
        <v>0.59975999999999996</v>
      </c>
      <c r="AU5" s="2">
        <v>0.7793699999999999</v>
      </c>
      <c r="AV5" s="1">
        <v>0.59975999999999996</v>
      </c>
      <c r="AW5" s="2">
        <v>0.62480000000000002</v>
      </c>
      <c r="AX5" s="1">
        <v>0.34916999999999998</v>
      </c>
      <c r="AY5" s="2">
        <v>0.55703999999999998</v>
      </c>
      <c r="AZ5" s="1">
        <v>0.34916999999999998</v>
      </c>
      <c r="BA5" s="2">
        <v>0.7793699999999999</v>
      </c>
      <c r="BB5" s="1">
        <v>0.34916999999999998</v>
      </c>
      <c r="BC5" s="2">
        <v>0.62480000000000002</v>
      </c>
      <c r="BD5" s="1">
        <v>0.55703999999999998</v>
      </c>
      <c r="BE5" s="2">
        <v>0.7793699999999999</v>
      </c>
      <c r="BF5" s="1">
        <v>0.55703999999999998</v>
      </c>
      <c r="BG5" s="2">
        <v>0.62480000000000002</v>
      </c>
      <c r="BH5" s="1">
        <v>0.7793699999999999</v>
      </c>
      <c r="BI5" s="2">
        <v>0.62480000000000002</v>
      </c>
      <c r="BK5" s="2"/>
      <c r="BL5" s="2"/>
    </row>
    <row r="6" spans="1:64" x14ac:dyDescent="0.25">
      <c r="A6" s="12" t="s">
        <v>2</v>
      </c>
      <c r="B6">
        <v>0.89576000000000011</v>
      </c>
      <c r="E6" s="6"/>
      <c r="F6" s="1" t="s">
        <v>1</v>
      </c>
      <c r="G6" s="2" t="s">
        <v>2</v>
      </c>
      <c r="H6" s="1" t="s">
        <v>1</v>
      </c>
      <c r="I6" s="2" t="s">
        <v>3</v>
      </c>
      <c r="J6" s="1" t="s">
        <v>1</v>
      </c>
      <c r="K6" s="2" t="s">
        <v>4</v>
      </c>
      <c r="L6" s="1" t="s">
        <v>1</v>
      </c>
      <c r="M6" s="2" t="s">
        <v>5</v>
      </c>
      <c r="N6" s="1" t="s">
        <v>1</v>
      </c>
      <c r="O6" s="2" t="s">
        <v>6</v>
      </c>
      <c r="P6" s="1" t="s">
        <v>1</v>
      </c>
      <c r="Q6" s="2" t="s">
        <v>7</v>
      </c>
      <c r="R6" s="1" t="s">
        <v>1</v>
      </c>
      <c r="S6" s="2" t="s">
        <v>8</v>
      </c>
      <c r="T6" s="3" t="s">
        <v>9</v>
      </c>
      <c r="U6" s="4" t="s">
        <v>3</v>
      </c>
      <c r="V6" s="3" t="s">
        <v>9</v>
      </c>
      <c r="W6" s="4" t="s">
        <v>10</v>
      </c>
      <c r="X6" s="3" t="s">
        <v>9</v>
      </c>
      <c r="Y6" s="4" t="s">
        <v>11</v>
      </c>
      <c r="Z6" s="3" t="s">
        <v>9</v>
      </c>
      <c r="AA6" s="4" t="s">
        <v>6</v>
      </c>
      <c r="AB6" s="3" t="s">
        <v>9</v>
      </c>
      <c r="AC6" s="4" t="s">
        <v>7</v>
      </c>
      <c r="AD6" s="3" t="s">
        <v>9</v>
      </c>
      <c r="AE6" s="4" t="s">
        <v>8</v>
      </c>
      <c r="AF6" s="3" t="s">
        <v>3</v>
      </c>
      <c r="AG6" s="4" t="s">
        <v>10</v>
      </c>
      <c r="AH6" s="3" t="s">
        <v>3</v>
      </c>
      <c r="AI6" s="4" t="s">
        <v>11</v>
      </c>
      <c r="AJ6" s="3" t="s">
        <v>3</v>
      </c>
      <c r="AK6" s="4" t="s">
        <v>6</v>
      </c>
      <c r="AL6" s="3" t="s">
        <v>3</v>
      </c>
      <c r="AM6" s="4" t="s">
        <v>7</v>
      </c>
      <c r="AN6" s="3" t="s">
        <v>3</v>
      </c>
      <c r="AO6" s="4" t="s">
        <v>8</v>
      </c>
      <c r="AP6" s="3" t="s">
        <v>10</v>
      </c>
      <c r="AQ6" s="4" t="s">
        <v>11</v>
      </c>
      <c r="AR6" s="3" t="s">
        <v>10</v>
      </c>
      <c r="AS6" s="4" t="s">
        <v>6</v>
      </c>
      <c r="AT6" s="3" t="s">
        <v>10</v>
      </c>
      <c r="AU6" s="4" t="s">
        <v>7</v>
      </c>
      <c r="AV6" s="3" t="s">
        <v>10</v>
      </c>
      <c r="AW6" s="4" t="s">
        <v>8</v>
      </c>
      <c r="AX6" s="3" t="s">
        <v>11</v>
      </c>
      <c r="AY6" s="4" t="s">
        <v>6</v>
      </c>
      <c r="AZ6" s="3" t="s">
        <v>11</v>
      </c>
      <c r="BA6" s="4" t="s">
        <v>7</v>
      </c>
      <c r="BB6" s="3" t="s">
        <v>11</v>
      </c>
      <c r="BC6" s="4" t="s">
        <v>8</v>
      </c>
      <c r="BD6" s="3" t="s">
        <v>6</v>
      </c>
      <c r="BE6" s="4" t="s">
        <v>7</v>
      </c>
      <c r="BF6" s="3" t="s">
        <v>6</v>
      </c>
      <c r="BG6" s="4" t="s">
        <v>8</v>
      </c>
      <c r="BH6" s="3" t="s">
        <v>7</v>
      </c>
      <c r="BI6" s="4" t="s">
        <v>8</v>
      </c>
      <c r="BK6" s="2"/>
      <c r="BL6" s="2"/>
    </row>
    <row r="7" spans="1:64" x14ac:dyDescent="0.25">
      <c r="A7" s="12" t="s">
        <v>3</v>
      </c>
      <c r="B7">
        <v>0.70387</v>
      </c>
      <c r="D7" t="s">
        <v>12</v>
      </c>
      <c r="E7" t="s">
        <v>3</v>
      </c>
      <c r="F7" s="1">
        <v>0.70387</v>
      </c>
      <c r="G7" s="2">
        <v>0.74597000000000002</v>
      </c>
      <c r="H7" s="1">
        <v>0.70387</v>
      </c>
      <c r="I7" s="2">
        <v>0.97838999999999987</v>
      </c>
      <c r="J7" s="1">
        <v>0.70387</v>
      </c>
      <c r="K7" s="2">
        <v>0.64885000000000004</v>
      </c>
      <c r="L7" s="1">
        <v>0.70387</v>
      </c>
      <c r="M7" s="2">
        <v>0.32317000000000001</v>
      </c>
      <c r="N7" s="1">
        <v>0.70387</v>
      </c>
      <c r="O7" s="2">
        <v>0.5698899999999999</v>
      </c>
      <c r="P7" s="1">
        <v>0.70387</v>
      </c>
      <c r="Q7" s="2">
        <v>0.8479000000000001</v>
      </c>
      <c r="R7" s="1">
        <v>0.70387</v>
      </c>
      <c r="S7" s="2">
        <v>0.37756000000000001</v>
      </c>
      <c r="T7" s="1">
        <v>0.74597000000000002</v>
      </c>
      <c r="U7" s="2">
        <v>0.97838999999999987</v>
      </c>
      <c r="V7" s="1">
        <v>0.74597000000000002</v>
      </c>
      <c r="W7" s="2">
        <v>0.64885000000000004</v>
      </c>
      <c r="X7" s="1">
        <v>0.74597000000000002</v>
      </c>
      <c r="Y7" s="2">
        <v>0.32317000000000001</v>
      </c>
      <c r="Z7" s="1">
        <v>0.74597000000000002</v>
      </c>
      <c r="AA7" s="2">
        <v>0.5698899999999999</v>
      </c>
      <c r="AB7" s="1">
        <v>0.74597000000000002</v>
      </c>
      <c r="AC7" s="2">
        <v>0.8479000000000001</v>
      </c>
      <c r="AD7" s="1">
        <v>0.74597000000000002</v>
      </c>
      <c r="AE7" s="2">
        <v>0.37756000000000001</v>
      </c>
      <c r="AF7" s="1">
        <v>0.97838999999999987</v>
      </c>
      <c r="AG7" s="2">
        <v>0.64885000000000004</v>
      </c>
      <c r="AH7" s="1">
        <v>0.97838999999999987</v>
      </c>
      <c r="AI7" s="2">
        <v>0.32317000000000001</v>
      </c>
      <c r="AJ7" s="1">
        <v>0.97838999999999987</v>
      </c>
      <c r="AK7" s="2">
        <v>0.5698899999999999</v>
      </c>
      <c r="AL7" s="1">
        <v>0.97838999999999987</v>
      </c>
      <c r="AM7" s="2">
        <v>0.8479000000000001</v>
      </c>
      <c r="AN7" s="1">
        <v>0.97838999999999987</v>
      </c>
      <c r="AO7" s="2">
        <v>0.37756000000000001</v>
      </c>
      <c r="AP7" s="1">
        <v>0.64885000000000004</v>
      </c>
      <c r="AQ7" s="2">
        <v>0.32317000000000001</v>
      </c>
      <c r="AR7" s="1">
        <v>0.64885000000000004</v>
      </c>
      <c r="AS7" s="2">
        <v>0.5698899999999999</v>
      </c>
      <c r="AT7" s="1">
        <v>0.64885000000000004</v>
      </c>
      <c r="AU7" s="2">
        <v>0.8479000000000001</v>
      </c>
      <c r="AV7" s="1">
        <v>0.64885000000000004</v>
      </c>
      <c r="AW7" s="2">
        <v>0.37756000000000001</v>
      </c>
      <c r="AX7" s="1">
        <v>0.32317000000000001</v>
      </c>
      <c r="AY7" s="2">
        <v>0.5698899999999999</v>
      </c>
      <c r="AZ7" s="1">
        <v>0.32317000000000001</v>
      </c>
      <c r="BA7" s="2">
        <v>0.8479000000000001</v>
      </c>
      <c r="BB7" s="1">
        <v>0.32317000000000001</v>
      </c>
      <c r="BC7" s="2">
        <v>0.37756000000000001</v>
      </c>
      <c r="BD7" s="1">
        <v>0.5698899999999999</v>
      </c>
      <c r="BE7" s="2">
        <v>0.8479000000000001</v>
      </c>
      <c r="BF7" s="1">
        <v>0.5698899999999999</v>
      </c>
      <c r="BG7" s="2">
        <v>0.37756000000000001</v>
      </c>
      <c r="BH7" s="1">
        <v>0.8479000000000001</v>
      </c>
      <c r="BI7" s="2">
        <v>0.37756000000000001</v>
      </c>
      <c r="BK7" s="2"/>
      <c r="BL7" s="2"/>
    </row>
    <row r="8" spans="1:64" x14ac:dyDescent="0.25">
      <c r="A8" s="12" t="s">
        <v>10</v>
      </c>
      <c r="B8">
        <v>0.83199000000000001</v>
      </c>
      <c r="E8" s="6"/>
      <c r="F8" s="1" t="s">
        <v>1</v>
      </c>
      <c r="G8" s="2" t="s">
        <v>2</v>
      </c>
      <c r="H8" s="1" t="s">
        <v>1</v>
      </c>
      <c r="I8" s="2" t="s">
        <v>3</v>
      </c>
      <c r="J8" s="1" t="s">
        <v>1</v>
      </c>
      <c r="K8" s="2" t="s">
        <v>4</v>
      </c>
      <c r="L8" s="1" t="s">
        <v>1</v>
      </c>
      <c r="M8" s="2" t="s">
        <v>5</v>
      </c>
      <c r="N8" s="1" t="s">
        <v>1</v>
      </c>
      <c r="O8" s="2" t="s">
        <v>6</v>
      </c>
      <c r="P8" s="1" t="s">
        <v>1</v>
      </c>
      <c r="Q8" s="2" t="s">
        <v>7</v>
      </c>
      <c r="R8" s="1" t="s">
        <v>1</v>
      </c>
      <c r="S8" s="2" t="s">
        <v>8</v>
      </c>
      <c r="T8" s="3" t="s">
        <v>9</v>
      </c>
      <c r="U8" s="4" t="s">
        <v>3</v>
      </c>
      <c r="V8" s="3" t="s">
        <v>9</v>
      </c>
      <c r="W8" s="4" t="s">
        <v>10</v>
      </c>
      <c r="X8" s="3" t="s">
        <v>9</v>
      </c>
      <c r="Y8" s="4" t="s">
        <v>11</v>
      </c>
      <c r="Z8" s="3" t="s">
        <v>9</v>
      </c>
      <c r="AA8" s="4" t="s">
        <v>6</v>
      </c>
      <c r="AB8" s="3" t="s">
        <v>9</v>
      </c>
      <c r="AC8" s="4" t="s">
        <v>7</v>
      </c>
      <c r="AD8" s="3" t="s">
        <v>9</v>
      </c>
      <c r="AE8" s="4" t="s">
        <v>8</v>
      </c>
      <c r="AF8" s="3" t="s">
        <v>3</v>
      </c>
      <c r="AG8" s="4" t="s">
        <v>10</v>
      </c>
      <c r="AH8" s="3" t="s">
        <v>3</v>
      </c>
      <c r="AI8" s="4" t="s">
        <v>11</v>
      </c>
      <c r="AJ8" s="3" t="s">
        <v>3</v>
      </c>
      <c r="AK8" s="4" t="s">
        <v>6</v>
      </c>
      <c r="AL8" s="3" t="s">
        <v>3</v>
      </c>
      <c r="AM8" s="4" t="s">
        <v>7</v>
      </c>
      <c r="AN8" s="3" t="s">
        <v>3</v>
      </c>
      <c r="AO8" s="4" t="s">
        <v>8</v>
      </c>
      <c r="AP8" s="3" t="s">
        <v>10</v>
      </c>
      <c r="AQ8" s="4" t="s">
        <v>11</v>
      </c>
      <c r="AR8" s="3" t="s">
        <v>10</v>
      </c>
      <c r="AS8" s="4" t="s">
        <v>6</v>
      </c>
      <c r="AT8" s="3" t="s">
        <v>10</v>
      </c>
      <c r="AU8" s="4" t="s">
        <v>7</v>
      </c>
      <c r="AV8" s="3" t="s">
        <v>10</v>
      </c>
      <c r="AW8" s="4" t="s">
        <v>8</v>
      </c>
      <c r="AX8" s="3" t="s">
        <v>11</v>
      </c>
      <c r="AY8" s="4" t="s">
        <v>6</v>
      </c>
      <c r="AZ8" s="3" t="s">
        <v>11</v>
      </c>
      <c r="BA8" s="4" t="s">
        <v>7</v>
      </c>
      <c r="BB8" s="3" t="s">
        <v>11</v>
      </c>
      <c r="BC8" s="4" t="s">
        <v>8</v>
      </c>
      <c r="BD8" s="3" t="s">
        <v>6</v>
      </c>
      <c r="BE8" s="4" t="s">
        <v>7</v>
      </c>
      <c r="BF8" s="3" t="s">
        <v>6</v>
      </c>
      <c r="BG8" s="4" t="s">
        <v>8</v>
      </c>
      <c r="BH8" s="3" t="s">
        <v>7</v>
      </c>
      <c r="BI8" s="4" t="s">
        <v>8</v>
      </c>
      <c r="BK8" s="2"/>
      <c r="BL8" s="2"/>
    </row>
    <row r="9" spans="1:64" x14ac:dyDescent="0.25">
      <c r="A9" s="12" t="s">
        <v>11</v>
      </c>
      <c r="B9">
        <v>0.78967999999999994</v>
      </c>
      <c r="D9" t="s">
        <v>12</v>
      </c>
      <c r="E9" t="s">
        <v>4</v>
      </c>
      <c r="F9" s="1">
        <v>0.83199000000000001</v>
      </c>
      <c r="G9" s="2">
        <v>0.75426999999999988</v>
      </c>
      <c r="H9" s="1">
        <v>0.83199000000000001</v>
      </c>
      <c r="I9" s="2">
        <v>0.78296999999999994</v>
      </c>
      <c r="J9" s="1">
        <v>0.83199000000000001</v>
      </c>
      <c r="K9" s="2">
        <v>0.90118000000000009</v>
      </c>
      <c r="L9" s="1">
        <v>0.83199000000000001</v>
      </c>
      <c r="M9" s="2">
        <v>0.33040000000000003</v>
      </c>
      <c r="N9" s="1">
        <v>0.83199000000000001</v>
      </c>
      <c r="O9" s="2">
        <v>0.71155000000000002</v>
      </c>
      <c r="P9" s="1">
        <v>0.83199000000000001</v>
      </c>
      <c r="Q9" s="2">
        <v>0.88343999999999989</v>
      </c>
      <c r="R9" s="1">
        <v>0.83199000000000001</v>
      </c>
      <c r="S9" s="2">
        <v>0.30667999999999995</v>
      </c>
      <c r="T9" s="1">
        <v>0.75426999999999988</v>
      </c>
      <c r="U9" s="2">
        <v>0.78296999999999994</v>
      </c>
      <c r="V9" s="1">
        <v>0.75426999999999988</v>
      </c>
      <c r="W9" s="2">
        <v>0.90118000000000009</v>
      </c>
      <c r="X9" s="1">
        <v>0.75426999999999988</v>
      </c>
      <c r="Y9" s="2">
        <v>0.33040000000000003</v>
      </c>
      <c r="Z9" s="1">
        <v>0.75426999999999988</v>
      </c>
      <c r="AA9" s="2">
        <v>0.71155000000000002</v>
      </c>
      <c r="AB9" s="1">
        <v>0.75426999999999988</v>
      </c>
      <c r="AC9" s="2">
        <v>0.88343999999999989</v>
      </c>
      <c r="AD9" s="1">
        <v>0.75426999999999988</v>
      </c>
      <c r="AE9" s="2">
        <v>0.30667999999999995</v>
      </c>
      <c r="AF9" s="1">
        <v>0.78296999999999994</v>
      </c>
      <c r="AG9" s="2">
        <v>0.90118000000000009</v>
      </c>
      <c r="AH9" s="1">
        <v>0.78296999999999994</v>
      </c>
      <c r="AI9" s="2">
        <v>0.33040000000000003</v>
      </c>
      <c r="AJ9" s="1">
        <v>0.78296999999999994</v>
      </c>
      <c r="AK9" s="2">
        <v>0.71155000000000002</v>
      </c>
      <c r="AL9" s="1">
        <v>0.78296999999999994</v>
      </c>
      <c r="AM9" s="2">
        <v>0.88343999999999989</v>
      </c>
      <c r="AN9" s="1">
        <v>0.78296999999999994</v>
      </c>
      <c r="AO9" s="2">
        <v>0.30667999999999995</v>
      </c>
      <c r="AP9" s="1">
        <v>0.90118000000000009</v>
      </c>
      <c r="AQ9" s="2">
        <v>0.33040000000000003</v>
      </c>
      <c r="AR9" s="1">
        <v>0.90118000000000009</v>
      </c>
      <c r="AS9" s="2">
        <v>0.71155000000000002</v>
      </c>
      <c r="AT9" s="1">
        <v>0.90118000000000009</v>
      </c>
      <c r="AU9" s="2">
        <v>0.88343999999999989</v>
      </c>
      <c r="AV9" s="1">
        <v>0.90118000000000009</v>
      </c>
      <c r="AW9" s="2">
        <v>0.30667999999999995</v>
      </c>
      <c r="AX9" s="1">
        <v>0.33040000000000003</v>
      </c>
      <c r="AY9" s="2">
        <v>0.71155000000000002</v>
      </c>
      <c r="AZ9" s="1">
        <v>0.33040000000000003</v>
      </c>
      <c r="BA9" s="2">
        <v>0.88343999999999989</v>
      </c>
      <c r="BB9" s="1">
        <v>0.33040000000000003</v>
      </c>
      <c r="BC9" s="2">
        <v>0.30667999999999995</v>
      </c>
      <c r="BD9" s="1">
        <v>0.71155000000000002</v>
      </c>
      <c r="BE9" s="2">
        <v>0.88343999999999989</v>
      </c>
      <c r="BF9" s="1">
        <v>0.71155000000000002</v>
      </c>
      <c r="BG9" s="2">
        <v>0.30667999999999995</v>
      </c>
      <c r="BH9" s="1">
        <v>0.88343999999999989</v>
      </c>
      <c r="BI9" s="2">
        <v>0.30667999999999995</v>
      </c>
      <c r="BK9" s="2"/>
      <c r="BL9" s="2"/>
    </row>
    <row r="10" spans="1:64" x14ac:dyDescent="0.25">
      <c r="A10" s="12" t="s">
        <v>6</v>
      </c>
      <c r="B10">
        <v>0.78800000000000003</v>
      </c>
      <c r="E10" s="6"/>
      <c r="F10" s="1" t="s">
        <v>1</v>
      </c>
      <c r="G10" s="2" t="s">
        <v>2</v>
      </c>
      <c r="H10" s="1" t="s">
        <v>1</v>
      </c>
      <c r="I10" s="2" t="s">
        <v>3</v>
      </c>
      <c r="J10" s="1" t="s">
        <v>1</v>
      </c>
      <c r="K10" s="2" t="s">
        <v>4</v>
      </c>
      <c r="L10" s="1" t="s">
        <v>1</v>
      </c>
      <c r="M10" s="2" t="s">
        <v>5</v>
      </c>
      <c r="N10" s="1" t="s">
        <v>1</v>
      </c>
      <c r="O10" s="2" t="s">
        <v>6</v>
      </c>
      <c r="P10" s="1" t="s">
        <v>1</v>
      </c>
      <c r="Q10" s="2" t="s">
        <v>7</v>
      </c>
      <c r="R10" s="1" t="s">
        <v>1</v>
      </c>
      <c r="S10" s="2" t="s">
        <v>8</v>
      </c>
      <c r="T10" s="3" t="s">
        <v>9</v>
      </c>
      <c r="U10" s="4" t="s">
        <v>3</v>
      </c>
      <c r="V10" s="3" t="s">
        <v>9</v>
      </c>
      <c r="W10" s="4" t="s">
        <v>10</v>
      </c>
      <c r="X10" s="3" t="s">
        <v>9</v>
      </c>
      <c r="Y10" s="4" t="s">
        <v>11</v>
      </c>
      <c r="Z10" s="3" t="s">
        <v>9</v>
      </c>
      <c r="AA10" s="4" t="s">
        <v>6</v>
      </c>
      <c r="AB10" s="3" t="s">
        <v>9</v>
      </c>
      <c r="AC10" s="4" t="s">
        <v>7</v>
      </c>
      <c r="AD10" s="3" t="s">
        <v>9</v>
      </c>
      <c r="AE10" s="4" t="s">
        <v>8</v>
      </c>
      <c r="AF10" s="3" t="s">
        <v>3</v>
      </c>
      <c r="AG10" s="4" t="s">
        <v>10</v>
      </c>
      <c r="AH10" s="3" t="s">
        <v>3</v>
      </c>
      <c r="AI10" s="4" t="s">
        <v>11</v>
      </c>
      <c r="AJ10" s="3" t="s">
        <v>3</v>
      </c>
      <c r="AK10" s="4" t="s">
        <v>6</v>
      </c>
      <c r="AL10" s="3" t="s">
        <v>3</v>
      </c>
      <c r="AM10" s="4" t="s">
        <v>7</v>
      </c>
      <c r="AN10" s="3" t="s">
        <v>3</v>
      </c>
      <c r="AO10" s="4" t="s">
        <v>8</v>
      </c>
      <c r="AP10" s="3" t="s">
        <v>10</v>
      </c>
      <c r="AQ10" s="4" t="s">
        <v>11</v>
      </c>
      <c r="AR10" s="3" t="s">
        <v>10</v>
      </c>
      <c r="AS10" s="4" t="s">
        <v>6</v>
      </c>
      <c r="AT10" s="3" t="s">
        <v>10</v>
      </c>
      <c r="AU10" s="4" t="s">
        <v>7</v>
      </c>
      <c r="AV10" s="3" t="s">
        <v>10</v>
      </c>
      <c r="AW10" s="4" t="s">
        <v>8</v>
      </c>
      <c r="AX10" s="3" t="s">
        <v>11</v>
      </c>
      <c r="AY10" s="4" t="s">
        <v>6</v>
      </c>
      <c r="AZ10" s="3" t="s">
        <v>11</v>
      </c>
      <c r="BA10" s="4" t="s">
        <v>7</v>
      </c>
      <c r="BB10" s="3" t="s">
        <v>11</v>
      </c>
      <c r="BC10" s="4" t="s">
        <v>8</v>
      </c>
      <c r="BD10" s="3" t="s">
        <v>6</v>
      </c>
      <c r="BE10" s="4" t="s">
        <v>7</v>
      </c>
      <c r="BF10" s="3" t="s">
        <v>6</v>
      </c>
      <c r="BG10" s="4" t="s">
        <v>8</v>
      </c>
      <c r="BH10" s="3" t="s">
        <v>7</v>
      </c>
      <c r="BI10" s="4" t="s">
        <v>8</v>
      </c>
      <c r="BK10" s="2"/>
      <c r="BL10" s="2"/>
    </row>
    <row r="11" spans="1:64" x14ac:dyDescent="0.25">
      <c r="A11" s="12" t="s">
        <v>7</v>
      </c>
      <c r="B11">
        <v>0.80296000000000001</v>
      </c>
      <c r="D11" t="s">
        <v>12</v>
      </c>
      <c r="E11" t="s">
        <v>5</v>
      </c>
      <c r="F11" s="1">
        <v>0.78967999999999994</v>
      </c>
      <c r="G11" s="2">
        <v>0.85971999999999993</v>
      </c>
      <c r="H11" s="1">
        <v>0.78967999999999994</v>
      </c>
      <c r="I11" s="2">
        <v>0.78815000000000002</v>
      </c>
      <c r="J11" s="1">
        <v>0.78967999999999994</v>
      </c>
      <c r="K11" s="2">
        <v>0.83703000000000005</v>
      </c>
      <c r="L11" s="1">
        <v>0.78967999999999994</v>
      </c>
      <c r="M11" s="2">
        <v>0.89359999999999984</v>
      </c>
      <c r="N11" s="1">
        <v>0.78967999999999994</v>
      </c>
      <c r="O11" s="2">
        <v>0.66352999999999995</v>
      </c>
      <c r="P11" s="1">
        <v>0.78967999999999994</v>
      </c>
      <c r="Q11" s="2">
        <v>0.85853999999999997</v>
      </c>
      <c r="R11" s="1">
        <v>0.78967999999999994</v>
      </c>
      <c r="S11" s="2">
        <v>0.85853999999999997</v>
      </c>
      <c r="T11" s="1">
        <v>0.85971999999999993</v>
      </c>
      <c r="U11" s="2">
        <v>0.78815000000000002</v>
      </c>
      <c r="V11" s="1">
        <v>0.85971999999999993</v>
      </c>
      <c r="W11" s="2">
        <v>0.83703000000000005</v>
      </c>
      <c r="X11" s="1">
        <v>0.85971999999999993</v>
      </c>
      <c r="Y11" s="2">
        <v>0.89359999999999984</v>
      </c>
      <c r="Z11" s="1">
        <v>0.85971999999999993</v>
      </c>
      <c r="AA11" s="2">
        <v>0.66352999999999995</v>
      </c>
      <c r="AB11" s="1">
        <v>0.85971999999999993</v>
      </c>
      <c r="AC11" s="2">
        <v>0.85853999999999997</v>
      </c>
      <c r="AD11" s="1">
        <v>0.85971999999999993</v>
      </c>
      <c r="AE11" s="2">
        <v>0.85853999999999997</v>
      </c>
      <c r="AF11" s="1">
        <v>0.78815000000000002</v>
      </c>
      <c r="AG11" s="2">
        <v>0.83703000000000005</v>
      </c>
      <c r="AH11" s="1">
        <v>0.78815000000000002</v>
      </c>
      <c r="AI11" s="2">
        <v>0.89359999999999984</v>
      </c>
      <c r="AJ11" s="1">
        <v>0.78815000000000002</v>
      </c>
      <c r="AK11" s="2">
        <v>0.66352999999999995</v>
      </c>
      <c r="AL11" s="1">
        <v>0.78815000000000002</v>
      </c>
      <c r="AM11" s="2">
        <v>0.85853999999999997</v>
      </c>
      <c r="AN11" s="1">
        <v>0.78815000000000002</v>
      </c>
      <c r="AO11" s="2">
        <v>0.85853999999999997</v>
      </c>
      <c r="AP11" s="1">
        <v>0.83703000000000005</v>
      </c>
      <c r="AQ11" s="2">
        <v>0.89359999999999984</v>
      </c>
      <c r="AR11" s="1">
        <v>0.83703000000000005</v>
      </c>
      <c r="AS11" s="2">
        <v>0.66352999999999995</v>
      </c>
      <c r="AT11" s="1">
        <v>0.83703000000000005</v>
      </c>
      <c r="AU11" s="2">
        <v>0.85853999999999997</v>
      </c>
      <c r="AV11" s="1">
        <v>0.83703000000000005</v>
      </c>
      <c r="AW11" s="2">
        <v>0.85853999999999997</v>
      </c>
      <c r="AX11" s="1">
        <v>0.89359999999999984</v>
      </c>
      <c r="AY11" s="2">
        <v>0.66352999999999995</v>
      </c>
      <c r="AZ11" s="1">
        <v>0.89359999999999984</v>
      </c>
      <c r="BA11" s="2">
        <v>0.85853999999999997</v>
      </c>
      <c r="BB11" s="1">
        <v>0.89359999999999984</v>
      </c>
      <c r="BC11" s="2">
        <v>0.85853999999999997</v>
      </c>
      <c r="BD11" s="1">
        <v>0.66352999999999995</v>
      </c>
      <c r="BE11" s="2">
        <v>0.85853999999999997</v>
      </c>
      <c r="BF11" s="1">
        <v>0.66352999999999995</v>
      </c>
      <c r="BG11" s="2">
        <v>0.85853999999999997</v>
      </c>
      <c r="BH11" s="1">
        <v>0.85853999999999997</v>
      </c>
      <c r="BI11" s="2">
        <v>0.85853999999999997</v>
      </c>
      <c r="BK11" s="2"/>
      <c r="BL11" s="2"/>
    </row>
    <row r="12" spans="1:64" x14ac:dyDescent="0.25">
      <c r="A12" s="12" t="s">
        <v>8</v>
      </c>
      <c r="B12">
        <v>0.87406000000000006</v>
      </c>
      <c r="E12" s="6"/>
      <c r="F12" s="1" t="s">
        <v>1</v>
      </c>
      <c r="G12" s="2" t="s">
        <v>2</v>
      </c>
      <c r="H12" s="1" t="s">
        <v>1</v>
      </c>
      <c r="I12" s="2" t="s">
        <v>3</v>
      </c>
      <c r="J12" s="1" t="s">
        <v>1</v>
      </c>
      <c r="K12" s="2" t="s">
        <v>4</v>
      </c>
      <c r="L12" s="1" t="s">
        <v>1</v>
      </c>
      <c r="M12" s="2" t="s">
        <v>5</v>
      </c>
      <c r="N12" s="1" t="s">
        <v>1</v>
      </c>
      <c r="O12" s="2" t="s">
        <v>6</v>
      </c>
      <c r="P12" s="1" t="s">
        <v>1</v>
      </c>
      <c r="Q12" s="2" t="s">
        <v>7</v>
      </c>
      <c r="R12" s="1" t="s">
        <v>1</v>
      </c>
      <c r="S12" s="2" t="s">
        <v>8</v>
      </c>
      <c r="T12" s="3" t="s">
        <v>9</v>
      </c>
      <c r="U12" s="4" t="s">
        <v>3</v>
      </c>
      <c r="V12" s="3" t="s">
        <v>9</v>
      </c>
      <c r="W12" s="4" t="s">
        <v>10</v>
      </c>
      <c r="X12" s="3" t="s">
        <v>9</v>
      </c>
      <c r="Y12" s="4" t="s">
        <v>11</v>
      </c>
      <c r="Z12" s="3" t="s">
        <v>9</v>
      </c>
      <c r="AA12" s="4" t="s">
        <v>6</v>
      </c>
      <c r="AB12" s="3" t="s">
        <v>9</v>
      </c>
      <c r="AC12" s="4" t="s">
        <v>7</v>
      </c>
      <c r="AD12" s="3" t="s">
        <v>9</v>
      </c>
      <c r="AE12" s="4" t="s">
        <v>8</v>
      </c>
      <c r="AF12" s="3" t="s">
        <v>3</v>
      </c>
      <c r="AG12" s="4" t="s">
        <v>10</v>
      </c>
      <c r="AH12" s="3" t="s">
        <v>3</v>
      </c>
      <c r="AI12" s="4" t="s">
        <v>11</v>
      </c>
      <c r="AJ12" s="3" t="s">
        <v>3</v>
      </c>
      <c r="AK12" s="4" t="s">
        <v>6</v>
      </c>
      <c r="AL12" s="3" t="s">
        <v>3</v>
      </c>
      <c r="AM12" s="4" t="s">
        <v>7</v>
      </c>
      <c r="AN12" s="3" t="s">
        <v>3</v>
      </c>
      <c r="AO12" s="4" t="s">
        <v>8</v>
      </c>
      <c r="AP12" s="3" t="s">
        <v>10</v>
      </c>
      <c r="AQ12" s="4" t="s">
        <v>11</v>
      </c>
      <c r="AR12" s="3" t="s">
        <v>10</v>
      </c>
      <c r="AS12" s="4" t="s">
        <v>6</v>
      </c>
      <c r="AT12" s="3" t="s">
        <v>10</v>
      </c>
      <c r="AU12" s="4" t="s">
        <v>7</v>
      </c>
      <c r="AV12" s="3" t="s">
        <v>10</v>
      </c>
      <c r="AW12" s="4" t="s">
        <v>8</v>
      </c>
      <c r="AX12" s="3" t="s">
        <v>11</v>
      </c>
      <c r="AY12" s="4" t="s">
        <v>6</v>
      </c>
      <c r="AZ12" s="3" t="s">
        <v>11</v>
      </c>
      <c r="BA12" s="4" t="s">
        <v>7</v>
      </c>
      <c r="BB12" s="3" t="s">
        <v>11</v>
      </c>
      <c r="BC12" s="4" t="s">
        <v>8</v>
      </c>
      <c r="BD12" s="3" t="s">
        <v>6</v>
      </c>
      <c r="BE12" s="4" t="s">
        <v>7</v>
      </c>
      <c r="BF12" s="3" t="s">
        <v>6</v>
      </c>
      <c r="BG12" s="4" t="s">
        <v>8</v>
      </c>
      <c r="BH12" s="3" t="s">
        <v>7</v>
      </c>
      <c r="BI12" s="4" t="s">
        <v>8</v>
      </c>
      <c r="BK12" s="2"/>
      <c r="BL12" s="2"/>
    </row>
    <row r="13" spans="1:64" x14ac:dyDescent="0.25">
      <c r="A13" s="8">
        <v>100</v>
      </c>
      <c r="B13" s="17">
        <v>1</v>
      </c>
      <c r="D13" t="s">
        <v>12</v>
      </c>
      <c r="E13" t="s">
        <v>6</v>
      </c>
      <c r="F13" s="1">
        <v>0.78800000000000003</v>
      </c>
      <c r="G13" s="2">
        <v>0.79127000000000003</v>
      </c>
      <c r="H13" s="1">
        <v>0.78800000000000003</v>
      </c>
      <c r="I13" s="2">
        <v>0.75656999999999996</v>
      </c>
      <c r="J13" s="1">
        <v>0.78800000000000003</v>
      </c>
      <c r="K13" s="2">
        <v>0.88704000000000005</v>
      </c>
      <c r="L13" s="1">
        <v>0.78800000000000003</v>
      </c>
      <c r="M13" s="2">
        <v>0.53690000000000004</v>
      </c>
      <c r="N13" s="1">
        <v>0.78800000000000003</v>
      </c>
      <c r="O13" s="2">
        <v>0.97331999999999996</v>
      </c>
      <c r="P13" s="1">
        <v>0.78800000000000003</v>
      </c>
      <c r="Q13" s="2">
        <v>0.88644999999999996</v>
      </c>
      <c r="R13" s="1">
        <v>0.78800000000000003</v>
      </c>
      <c r="S13" s="2">
        <v>0.47974999999999995</v>
      </c>
      <c r="T13" s="1">
        <v>0.79127000000000003</v>
      </c>
      <c r="U13" s="2">
        <v>0.75656999999999996</v>
      </c>
      <c r="V13" s="1">
        <v>0.79127000000000003</v>
      </c>
      <c r="W13" s="2">
        <v>0.88704000000000005</v>
      </c>
      <c r="X13" s="1">
        <v>0.79127000000000003</v>
      </c>
      <c r="Y13" s="2">
        <v>0.53690000000000004</v>
      </c>
      <c r="Z13" s="1">
        <v>0.79127000000000003</v>
      </c>
      <c r="AA13" s="2">
        <v>0.97331999999999996</v>
      </c>
      <c r="AB13" s="1">
        <v>0.79127000000000003</v>
      </c>
      <c r="AC13" s="2">
        <v>0.88644999999999996</v>
      </c>
      <c r="AD13" s="1">
        <v>0.79127000000000003</v>
      </c>
      <c r="AE13" s="2">
        <v>0.47974999999999995</v>
      </c>
      <c r="AF13" s="1">
        <v>0.75656999999999996</v>
      </c>
      <c r="AG13" s="2">
        <v>0.88704000000000005</v>
      </c>
      <c r="AH13" s="1">
        <v>0.75656999999999996</v>
      </c>
      <c r="AI13" s="2">
        <v>0.53690000000000004</v>
      </c>
      <c r="AJ13" s="1">
        <v>0.75656999999999996</v>
      </c>
      <c r="AK13" s="2">
        <v>0.97331999999999996</v>
      </c>
      <c r="AL13" s="1">
        <v>0.75656999999999996</v>
      </c>
      <c r="AM13" s="2">
        <v>0.88644999999999996</v>
      </c>
      <c r="AN13" s="1">
        <v>0.75656999999999996</v>
      </c>
      <c r="AO13" s="2">
        <v>0.47974999999999995</v>
      </c>
      <c r="AP13" s="1">
        <v>0.88704000000000005</v>
      </c>
      <c r="AQ13" s="2">
        <v>0.53690000000000004</v>
      </c>
      <c r="AR13" s="1">
        <v>0.88704000000000005</v>
      </c>
      <c r="AS13" s="2">
        <v>0.97331999999999996</v>
      </c>
      <c r="AT13" s="1">
        <v>0.88704000000000005</v>
      </c>
      <c r="AU13" s="2">
        <v>0.88644999999999996</v>
      </c>
      <c r="AV13" s="1">
        <v>0.88704000000000005</v>
      </c>
      <c r="AW13" s="2">
        <v>0.47974999999999995</v>
      </c>
      <c r="AX13" s="1">
        <v>0.53690000000000004</v>
      </c>
      <c r="AY13" s="2">
        <v>0.97331999999999996</v>
      </c>
      <c r="AZ13" s="1">
        <v>0.53690000000000004</v>
      </c>
      <c r="BA13" s="2">
        <v>0.88644999999999996</v>
      </c>
      <c r="BB13" s="1">
        <v>0.53690000000000004</v>
      </c>
      <c r="BC13" s="2">
        <v>0.47974999999999995</v>
      </c>
      <c r="BD13" s="1">
        <v>0.97331999999999996</v>
      </c>
      <c r="BE13" s="2">
        <v>0.88644999999999996</v>
      </c>
      <c r="BF13" s="1">
        <v>0.97331999999999996</v>
      </c>
      <c r="BG13" s="2">
        <v>0.47974999999999995</v>
      </c>
      <c r="BH13" s="1">
        <v>0.88644999999999996</v>
      </c>
      <c r="BI13" s="2">
        <v>0.47974999999999995</v>
      </c>
      <c r="BK13" s="2"/>
      <c r="BL13" s="2"/>
    </row>
    <row r="14" spans="1:64" x14ac:dyDescent="0.25">
      <c r="A14" s="9"/>
      <c r="B14" s="17">
        <v>0.99726000000000015</v>
      </c>
      <c r="E14" s="6"/>
      <c r="F14" s="1" t="s">
        <v>1</v>
      </c>
      <c r="G14" s="2" t="s">
        <v>2</v>
      </c>
      <c r="H14" s="1" t="s">
        <v>1</v>
      </c>
      <c r="I14" s="2" t="s">
        <v>3</v>
      </c>
      <c r="J14" s="1" t="s">
        <v>1</v>
      </c>
      <c r="K14" s="2" t="s">
        <v>4</v>
      </c>
      <c r="L14" s="1" t="s">
        <v>1</v>
      </c>
      <c r="M14" s="2" t="s">
        <v>5</v>
      </c>
      <c r="N14" s="1" t="s">
        <v>1</v>
      </c>
      <c r="O14" s="2" t="s">
        <v>6</v>
      </c>
      <c r="P14" s="1" t="s">
        <v>1</v>
      </c>
      <c r="Q14" s="2" t="s">
        <v>7</v>
      </c>
      <c r="R14" s="1" t="s">
        <v>1</v>
      </c>
      <c r="S14" s="2" t="s">
        <v>8</v>
      </c>
      <c r="T14" s="3" t="s">
        <v>9</v>
      </c>
      <c r="U14" s="4" t="s">
        <v>3</v>
      </c>
      <c r="V14" s="3" t="s">
        <v>9</v>
      </c>
      <c r="W14" s="4" t="s">
        <v>10</v>
      </c>
      <c r="X14" s="3" t="s">
        <v>9</v>
      </c>
      <c r="Y14" s="4" t="s">
        <v>11</v>
      </c>
      <c r="Z14" s="3" t="s">
        <v>9</v>
      </c>
      <c r="AA14" s="4" t="s">
        <v>6</v>
      </c>
      <c r="AB14" s="3" t="s">
        <v>9</v>
      </c>
      <c r="AC14" s="4" t="s">
        <v>7</v>
      </c>
      <c r="AD14" s="3" t="s">
        <v>9</v>
      </c>
      <c r="AE14" s="4" t="s">
        <v>8</v>
      </c>
      <c r="AF14" s="3" t="s">
        <v>3</v>
      </c>
      <c r="AG14" s="4" t="s">
        <v>10</v>
      </c>
      <c r="AH14" s="3" t="s">
        <v>3</v>
      </c>
      <c r="AI14" s="4" t="s">
        <v>11</v>
      </c>
      <c r="AJ14" s="3" t="s">
        <v>3</v>
      </c>
      <c r="AK14" s="4" t="s">
        <v>6</v>
      </c>
      <c r="AL14" s="3" t="s">
        <v>3</v>
      </c>
      <c r="AM14" s="4" t="s">
        <v>7</v>
      </c>
      <c r="AN14" s="3" t="s">
        <v>3</v>
      </c>
      <c r="AO14" s="4" t="s">
        <v>8</v>
      </c>
      <c r="AP14" s="3" t="s">
        <v>10</v>
      </c>
      <c r="AQ14" s="4" t="s">
        <v>11</v>
      </c>
      <c r="AR14" s="3" t="s">
        <v>10</v>
      </c>
      <c r="AS14" s="4" t="s">
        <v>6</v>
      </c>
      <c r="AT14" s="3" t="s">
        <v>10</v>
      </c>
      <c r="AU14" s="4" t="s">
        <v>7</v>
      </c>
      <c r="AV14" s="3" t="s">
        <v>10</v>
      </c>
      <c r="AW14" s="4" t="s">
        <v>8</v>
      </c>
      <c r="AX14" s="3" t="s">
        <v>11</v>
      </c>
      <c r="AY14" s="4" t="s">
        <v>6</v>
      </c>
      <c r="AZ14" s="3" t="s">
        <v>11</v>
      </c>
      <c r="BA14" s="4" t="s">
        <v>7</v>
      </c>
      <c r="BB14" s="3" t="s">
        <v>11</v>
      </c>
      <c r="BC14" s="4" t="s">
        <v>8</v>
      </c>
      <c r="BD14" s="3" t="s">
        <v>6</v>
      </c>
      <c r="BE14" s="4" t="s">
        <v>7</v>
      </c>
      <c r="BF14" s="3" t="s">
        <v>6</v>
      </c>
      <c r="BG14" s="4" t="s">
        <v>8</v>
      </c>
      <c r="BH14" s="3" t="s">
        <v>7</v>
      </c>
      <c r="BI14" s="4" t="s">
        <v>8</v>
      </c>
      <c r="BK14" s="2"/>
      <c r="BL14" s="2"/>
    </row>
    <row r="15" spans="1:64" x14ac:dyDescent="0.25">
      <c r="A15" s="10" t="s">
        <v>17</v>
      </c>
      <c r="B15" s="18">
        <v>2200</v>
      </c>
      <c r="D15" t="s">
        <v>12</v>
      </c>
      <c r="E15" t="s">
        <v>7</v>
      </c>
      <c r="F15" s="1">
        <v>0.80296000000000001</v>
      </c>
      <c r="G15" s="2">
        <v>0.78149000000000002</v>
      </c>
      <c r="H15" s="1">
        <v>0.80296000000000001</v>
      </c>
      <c r="I15" s="2">
        <v>0.84122000000000008</v>
      </c>
      <c r="J15" s="1">
        <v>0.80296000000000001</v>
      </c>
      <c r="K15" s="2">
        <v>0.71393000000000006</v>
      </c>
      <c r="L15" s="1">
        <v>0.80296000000000001</v>
      </c>
      <c r="M15" s="2">
        <v>0.36818999999999996</v>
      </c>
      <c r="N15" s="1">
        <v>0.80296000000000001</v>
      </c>
      <c r="O15" s="2">
        <v>0.53459999999999996</v>
      </c>
      <c r="P15" s="1">
        <v>0.80296000000000001</v>
      </c>
      <c r="Q15" s="2">
        <v>0.99473</v>
      </c>
      <c r="R15" s="1">
        <v>0.80296000000000001</v>
      </c>
      <c r="S15" s="2">
        <v>0.54630000000000001</v>
      </c>
      <c r="T15" s="1">
        <v>0.78149000000000002</v>
      </c>
      <c r="U15" s="2">
        <v>0.84122000000000008</v>
      </c>
      <c r="V15" s="1">
        <v>0.78149000000000002</v>
      </c>
      <c r="W15" s="2">
        <v>0.71393000000000006</v>
      </c>
      <c r="X15" s="1">
        <v>0.78149000000000002</v>
      </c>
      <c r="Y15" s="2">
        <v>0.36818999999999996</v>
      </c>
      <c r="Z15" s="1">
        <v>0.78149000000000002</v>
      </c>
      <c r="AA15" s="2">
        <v>0.53459999999999996</v>
      </c>
      <c r="AB15" s="1">
        <v>0.78149000000000002</v>
      </c>
      <c r="AC15" s="2">
        <v>0.99473</v>
      </c>
      <c r="AD15" s="1">
        <v>0.78149000000000002</v>
      </c>
      <c r="AE15" s="2">
        <v>0.54630000000000001</v>
      </c>
      <c r="AF15" s="1">
        <v>0.84122000000000008</v>
      </c>
      <c r="AG15" s="2">
        <v>0.71393000000000006</v>
      </c>
      <c r="AH15" s="1">
        <v>0.84122000000000008</v>
      </c>
      <c r="AI15" s="2">
        <v>0.36818999999999996</v>
      </c>
      <c r="AJ15" s="1">
        <v>0.84122000000000008</v>
      </c>
      <c r="AK15" s="2">
        <v>0.53459999999999996</v>
      </c>
      <c r="AL15" s="1">
        <v>0.84122000000000008</v>
      </c>
      <c r="AM15" s="2">
        <v>0.99473</v>
      </c>
      <c r="AN15" s="1">
        <v>0.84122000000000008</v>
      </c>
      <c r="AO15" s="2">
        <v>0.54630000000000001</v>
      </c>
      <c r="AP15" s="1">
        <v>0.71393000000000006</v>
      </c>
      <c r="AQ15" s="2">
        <v>0.36818999999999996</v>
      </c>
      <c r="AR15" s="1">
        <v>0.71393000000000006</v>
      </c>
      <c r="AS15" s="2">
        <v>0.53459999999999996</v>
      </c>
      <c r="AT15" s="1">
        <v>0.71393000000000006</v>
      </c>
      <c r="AU15" s="2">
        <v>0.99473</v>
      </c>
      <c r="AV15" s="1">
        <v>0.71393000000000006</v>
      </c>
      <c r="AW15" s="2">
        <v>0.54630000000000001</v>
      </c>
      <c r="AX15" s="1">
        <v>0.36818999999999996</v>
      </c>
      <c r="AY15" s="2">
        <v>0.53459999999999996</v>
      </c>
      <c r="AZ15" s="1">
        <v>0.36818999999999996</v>
      </c>
      <c r="BA15" s="2">
        <v>0.99473</v>
      </c>
      <c r="BB15" s="1">
        <v>0.36818999999999996</v>
      </c>
      <c r="BC15" s="2">
        <v>0.54630000000000001</v>
      </c>
      <c r="BD15" s="1">
        <v>0.53459999999999996</v>
      </c>
      <c r="BE15" s="2">
        <v>0.99473</v>
      </c>
      <c r="BF15" s="1">
        <v>0.53459999999999996</v>
      </c>
      <c r="BG15" s="2">
        <v>0.54630000000000001</v>
      </c>
      <c r="BH15" s="1">
        <v>0.99473</v>
      </c>
      <c r="BI15" s="2">
        <v>0.54630000000000001</v>
      </c>
      <c r="BK15" s="2"/>
      <c r="BL15" s="2"/>
    </row>
    <row r="16" spans="1:64" x14ac:dyDescent="0.25">
      <c r="A16" s="12" t="s">
        <v>1</v>
      </c>
      <c r="B16">
        <v>0.78271000000000002</v>
      </c>
      <c r="F16" s="1" t="s">
        <v>1</v>
      </c>
      <c r="G16" s="2" t="s">
        <v>2</v>
      </c>
      <c r="H16" s="1" t="s">
        <v>1</v>
      </c>
      <c r="I16" s="2" t="s">
        <v>3</v>
      </c>
      <c r="J16" s="1" t="s">
        <v>1</v>
      </c>
      <c r="K16" s="2" t="s">
        <v>4</v>
      </c>
      <c r="L16" s="1" t="s">
        <v>1</v>
      </c>
      <c r="M16" s="2" t="s">
        <v>5</v>
      </c>
      <c r="N16" s="1" t="s">
        <v>1</v>
      </c>
      <c r="O16" s="2" t="s">
        <v>6</v>
      </c>
      <c r="P16" s="1" t="s">
        <v>1</v>
      </c>
      <c r="Q16" s="2" t="s">
        <v>7</v>
      </c>
      <c r="R16" s="1" t="s">
        <v>1</v>
      </c>
      <c r="S16" s="2" t="s">
        <v>8</v>
      </c>
      <c r="T16" s="3" t="s">
        <v>9</v>
      </c>
      <c r="U16" s="4" t="s">
        <v>3</v>
      </c>
      <c r="V16" s="3" t="s">
        <v>9</v>
      </c>
      <c r="W16" s="4" t="s">
        <v>10</v>
      </c>
      <c r="X16" s="3" t="s">
        <v>9</v>
      </c>
      <c r="Y16" s="4" t="s">
        <v>11</v>
      </c>
      <c r="Z16" s="3" t="s">
        <v>9</v>
      </c>
      <c r="AA16" s="4" t="s">
        <v>6</v>
      </c>
      <c r="AB16" s="3" t="s">
        <v>9</v>
      </c>
      <c r="AC16" s="4" t="s">
        <v>7</v>
      </c>
      <c r="AD16" s="3" t="s">
        <v>9</v>
      </c>
      <c r="AE16" s="4" t="s">
        <v>8</v>
      </c>
      <c r="AF16" s="3" t="s">
        <v>3</v>
      </c>
      <c r="AG16" s="4" t="s">
        <v>10</v>
      </c>
      <c r="AH16" s="3" t="s">
        <v>3</v>
      </c>
      <c r="AI16" s="4" t="s">
        <v>11</v>
      </c>
      <c r="AJ16" s="3" t="s">
        <v>3</v>
      </c>
      <c r="AK16" s="4" t="s">
        <v>6</v>
      </c>
      <c r="AL16" s="3" t="s">
        <v>3</v>
      </c>
      <c r="AM16" s="4" t="s">
        <v>7</v>
      </c>
      <c r="AN16" s="3" t="s">
        <v>3</v>
      </c>
      <c r="AO16" s="4" t="s">
        <v>8</v>
      </c>
      <c r="AP16" s="3" t="s">
        <v>10</v>
      </c>
      <c r="AQ16" s="4" t="s">
        <v>11</v>
      </c>
      <c r="AR16" s="3" t="s">
        <v>10</v>
      </c>
      <c r="AS16" s="4" t="s">
        <v>6</v>
      </c>
      <c r="AT16" s="3" t="s">
        <v>10</v>
      </c>
      <c r="AU16" s="4" t="s">
        <v>7</v>
      </c>
      <c r="AV16" s="3" t="s">
        <v>10</v>
      </c>
      <c r="AW16" s="4" t="s">
        <v>8</v>
      </c>
      <c r="AX16" s="3" t="s">
        <v>11</v>
      </c>
      <c r="AY16" s="4" t="s">
        <v>6</v>
      </c>
      <c r="AZ16" s="3" t="s">
        <v>11</v>
      </c>
      <c r="BA16" s="4" t="s">
        <v>7</v>
      </c>
      <c r="BB16" s="3" t="s">
        <v>11</v>
      </c>
      <c r="BC16" s="4" t="s">
        <v>8</v>
      </c>
      <c r="BD16" s="3" t="s">
        <v>6</v>
      </c>
      <c r="BE16" s="4" t="s">
        <v>7</v>
      </c>
      <c r="BF16" s="3" t="s">
        <v>6</v>
      </c>
      <c r="BG16" s="4" t="s">
        <v>8</v>
      </c>
      <c r="BH16" s="3" t="s">
        <v>7</v>
      </c>
      <c r="BI16" s="4" t="s">
        <v>8</v>
      </c>
      <c r="BK16" s="2"/>
      <c r="BL16" s="2"/>
    </row>
    <row r="17" spans="1:64" x14ac:dyDescent="0.25">
      <c r="A17" s="11" t="s">
        <v>2</v>
      </c>
      <c r="B17">
        <v>0.99726000000000015</v>
      </c>
      <c r="D17" t="s">
        <v>12</v>
      </c>
      <c r="E17" t="s">
        <v>8</v>
      </c>
      <c r="F17" s="1">
        <v>0.87406000000000006</v>
      </c>
      <c r="G17" s="2">
        <v>0.62721000000000005</v>
      </c>
      <c r="H17" s="1">
        <v>0.87406000000000006</v>
      </c>
      <c r="I17" s="2">
        <v>0.53949999999999998</v>
      </c>
      <c r="J17" s="1">
        <v>0.87406000000000006</v>
      </c>
      <c r="K17" s="2">
        <v>0.13020000000000004</v>
      </c>
      <c r="L17" s="1">
        <v>0.87406000000000006</v>
      </c>
      <c r="M17" s="2">
        <v>6.5220000000000014E-2</v>
      </c>
      <c r="N17" s="1">
        <v>0.87406000000000006</v>
      </c>
      <c r="O17" s="2">
        <v>0.17328000000000005</v>
      </c>
      <c r="P17" s="1">
        <v>0.87406000000000006</v>
      </c>
      <c r="Q17" s="2">
        <v>0.54332999999999998</v>
      </c>
      <c r="R17" s="1">
        <v>0.87406000000000006</v>
      </c>
      <c r="S17" s="2">
        <v>0.9985099999999999</v>
      </c>
      <c r="T17" s="1">
        <v>0.62721000000000005</v>
      </c>
      <c r="U17" s="2">
        <v>0.53949999999999998</v>
      </c>
      <c r="V17" s="1">
        <v>0.62721000000000005</v>
      </c>
      <c r="W17" s="2">
        <v>0.13020000000000004</v>
      </c>
      <c r="X17" s="1">
        <v>0.62721000000000005</v>
      </c>
      <c r="Y17" s="2">
        <v>6.5220000000000014E-2</v>
      </c>
      <c r="Z17" s="1">
        <v>0.62721000000000005</v>
      </c>
      <c r="AA17" s="2">
        <v>0.17328000000000005</v>
      </c>
      <c r="AB17" s="1">
        <v>0.62721000000000005</v>
      </c>
      <c r="AC17" s="2">
        <v>0.54332999999999998</v>
      </c>
      <c r="AD17" s="1">
        <v>0.62721000000000005</v>
      </c>
      <c r="AE17" s="2">
        <v>0.9985099999999999</v>
      </c>
      <c r="AF17" s="1">
        <v>0.53949999999999998</v>
      </c>
      <c r="AG17" s="2">
        <v>0.13020000000000004</v>
      </c>
      <c r="AH17" s="1">
        <v>0.53949999999999998</v>
      </c>
      <c r="AI17" s="2">
        <v>6.5220000000000014E-2</v>
      </c>
      <c r="AJ17" s="1">
        <v>0.53949999999999998</v>
      </c>
      <c r="AK17" s="2">
        <v>0.17328000000000005</v>
      </c>
      <c r="AL17" s="1">
        <v>0.53949999999999998</v>
      </c>
      <c r="AM17" s="2">
        <v>0.54332999999999998</v>
      </c>
      <c r="AN17" s="1">
        <v>0.53949999999999998</v>
      </c>
      <c r="AO17" s="2">
        <v>0.9985099999999999</v>
      </c>
      <c r="AP17" s="1">
        <v>0.13020000000000004</v>
      </c>
      <c r="AQ17" s="2">
        <v>6.5220000000000014E-2</v>
      </c>
      <c r="AR17" s="1">
        <v>0.13020000000000004</v>
      </c>
      <c r="AS17" s="2">
        <v>0.17328000000000005</v>
      </c>
      <c r="AT17" s="1">
        <v>0.13020000000000004</v>
      </c>
      <c r="AU17" s="2">
        <v>0.54332999999999998</v>
      </c>
      <c r="AV17" s="1">
        <v>0.13020000000000004</v>
      </c>
      <c r="AW17" s="2">
        <v>0.9985099999999999</v>
      </c>
      <c r="AX17" s="1">
        <v>6.5220000000000014E-2</v>
      </c>
      <c r="AY17" s="2">
        <v>0.17328000000000005</v>
      </c>
      <c r="AZ17" s="1">
        <v>6.5220000000000014E-2</v>
      </c>
      <c r="BA17" s="2">
        <v>0.54332999999999998</v>
      </c>
      <c r="BB17" s="1">
        <v>6.5220000000000014E-2</v>
      </c>
      <c r="BC17" s="2">
        <v>0.9985099999999999</v>
      </c>
      <c r="BD17" s="1">
        <v>0.17328000000000005</v>
      </c>
      <c r="BE17" s="2">
        <v>0.54332999999999998</v>
      </c>
      <c r="BF17" s="1">
        <v>0.17328000000000005</v>
      </c>
      <c r="BG17" s="2">
        <v>0.9985099999999999</v>
      </c>
      <c r="BH17" s="1">
        <v>0.54332999999999998</v>
      </c>
      <c r="BI17" s="2">
        <v>0.9985099999999999</v>
      </c>
      <c r="BK17" s="2"/>
      <c r="BL17" s="2"/>
    </row>
    <row r="18" spans="1:64" x14ac:dyDescent="0.25">
      <c r="A18" s="12" t="s">
        <v>3</v>
      </c>
      <c r="B18">
        <v>0.74597000000000002</v>
      </c>
      <c r="D18" s="2"/>
      <c r="E18" s="2"/>
      <c r="F18" s="1"/>
      <c r="G18" s="4"/>
      <c r="H18" s="1"/>
      <c r="I18" s="2"/>
      <c r="J18" s="3"/>
      <c r="K18" s="2"/>
      <c r="L18" s="1"/>
      <c r="M18" s="4"/>
      <c r="N18" s="1"/>
      <c r="O18" s="2"/>
      <c r="P18" s="3"/>
      <c r="Q18" s="2"/>
      <c r="R18" s="1"/>
      <c r="S18" s="4"/>
      <c r="T18" s="1"/>
      <c r="U18" s="2"/>
      <c r="V18" s="3"/>
      <c r="W18" s="2"/>
      <c r="X18" s="1"/>
      <c r="Y18" s="2"/>
      <c r="Z18" s="1"/>
      <c r="AA18" s="2"/>
      <c r="AB18" s="1"/>
      <c r="AC18" s="2"/>
      <c r="AD18" s="1"/>
      <c r="AE18" s="2"/>
      <c r="AF18" s="1"/>
      <c r="AG18" s="2"/>
      <c r="AH18" s="1"/>
      <c r="AI18" s="2"/>
      <c r="AJ18" s="1"/>
      <c r="AK18" s="2"/>
      <c r="AL18" s="1"/>
      <c r="AM18" s="2"/>
      <c r="AN18" s="1"/>
      <c r="AO18" s="2"/>
      <c r="AP18" s="1"/>
      <c r="AQ18" s="2"/>
      <c r="AR18" s="1"/>
      <c r="AS18" s="2"/>
      <c r="AT18" s="1"/>
      <c r="AU18" s="2"/>
      <c r="AV18" s="1"/>
      <c r="AW18" s="2"/>
      <c r="AX18" s="1"/>
      <c r="AY18" s="2"/>
      <c r="AZ18" s="1"/>
      <c r="BA18" s="2"/>
      <c r="BB18" s="1"/>
      <c r="BC18" s="2"/>
      <c r="BD18" s="1"/>
      <c r="BE18" s="2"/>
      <c r="BF18" s="1"/>
      <c r="BG18" s="2"/>
      <c r="BH18" s="1"/>
      <c r="BI18" s="2"/>
    </row>
    <row r="19" spans="1:64" x14ac:dyDescent="0.25">
      <c r="A19" s="12" t="s">
        <v>10</v>
      </c>
      <c r="B19">
        <v>0.75426999999999988</v>
      </c>
      <c r="D19" s="2"/>
      <c r="E19" s="2"/>
      <c r="F19" s="1"/>
      <c r="G19" s="4"/>
      <c r="H19" s="1"/>
      <c r="I19" s="2"/>
      <c r="J19" s="3"/>
      <c r="K19" s="2"/>
      <c r="L19" s="1"/>
      <c r="M19" s="4"/>
      <c r="N19" s="1"/>
      <c r="O19" s="2"/>
      <c r="P19" s="3"/>
      <c r="Q19" s="2"/>
      <c r="R19" s="1"/>
      <c r="S19" s="4"/>
      <c r="T19" s="1"/>
      <c r="U19" s="2"/>
      <c r="V19" s="1"/>
      <c r="W19" s="2"/>
      <c r="X19" s="1"/>
      <c r="Y19" s="2"/>
      <c r="Z19" s="1"/>
      <c r="AA19" s="2"/>
      <c r="AB19" s="1"/>
      <c r="AC19" s="2"/>
      <c r="AD19" s="1"/>
      <c r="AE19" s="2"/>
      <c r="AF19" s="1"/>
      <c r="AG19" s="2"/>
      <c r="AH19" s="1"/>
      <c r="AI19" s="2"/>
      <c r="AJ19" s="1"/>
      <c r="AK19" s="2"/>
      <c r="AL19" s="1"/>
      <c r="AM19" s="2"/>
      <c r="AN19" s="1"/>
      <c r="AO19" s="2"/>
      <c r="AP19" s="1"/>
      <c r="AQ19" s="2"/>
      <c r="AR19" s="1"/>
      <c r="AS19" s="2"/>
      <c r="AT19" s="1"/>
      <c r="AU19" s="2"/>
      <c r="AV19" s="1"/>
      <c r="AW19" s="2"/>
      <c r="AX19" s="1"/>
      <c r="AY19" s="2"/>
      <c r="AZ19" s="1"/>
      <c r="BA19" s="2"/>
      <c r="BB19" s="1"/>
      <c r="BC19" s="2"/>
      <c r="BD19" s="1"/>
      <c r="BE19" s="2"/>
      <c r="BF19" s="1"/>
      <c r="BG19" s="2"/>
      <c r="BH19" s="1"/>
      <c r="BI19" s="2"/>
    </row>
    <row r="20" spans="1:64" x14ac:dyDescent="0.25">
      <c r="A20" s="12" t="s">
        <v>11</v>
      </c>
      <c r="B20">
        <v>0.85971999999999993</v>
      </c>
      <c r="D20" s="100" t="s">
        <v>13</v>
      </c>
      <c r="E20" s="100"/>
      <c r="F20" s="1">
        <v>1</v>
      </c>
      <c r="G20" s="2"/>
      <c r="H20" s="1">
        <v>2</v>
      </c>
      <c r="I20" s="2"/>
      <c r="J20" s="1">
        <v>3</v>
      </c>
      <c r="K20" s="2"/>
      <c r="L20" s="1">
        <v>4</v>
      </c>
      <c r="M20" s="2"/>
      <c r="N20" s="1">
        <v>5</v>
      </c>
      <c r="O20" s="2"/>
      <c r="P20" s="1">
        <v>6</v>
      </c>
      <c r="Q20" s="2"/>
      <c r="R20" s="1">
        <v>7</v>
      </c>
      <c r="S20" s="2"/>
      <c r="T20" s="1">
        <v>1</v>
      </c>
      <c r="U20" s="2"/>
      <c r="V20" s="1">
        <v>2</v>
      </c>
      <c r="W20" s="2"/>
      <c r="X20" s="1">
        <v>3</v>
      </c>
      <c r="Y20" s="2"/>
      <c r="Z20" s="1">
        <v>4</v>
      </c>
      <c r="AA20" s="2"/>
      <c r="AB20" s="1">
        <v>5</v>
      </c>
      <c r="AC20" s="2"/>
      <c r="AD20" s="1">
        <v>6</v>
      </c>
      <c r="AE20" s="2"/>
      <c r="AF20" s="1">
        <v>1</v>
      </c>
      <c r="AG20" s="2"/>
      <c r="AH20" s="1">
        <v>2</v>
      </c>
      <c r="AI20" s="2"/>
      <c r="AJ20" s="1">
        <v>3</v>
      </c>
      <c r="AK20" s="2"/>
      <c r="AL20" s="1">
        <v>4</v>
      </c>
      <c r="AM20" s="2"/>
      <c r="AN20" s="1">
        <v>5</v>
      </c>
      <c r="AO20" s="2"/>
      <c r="AP20" s="1">
        <v>1</v>
      </c>
      <c r="AQ20" s="2"/>
      <c r="AR20" s="1">
        <v>2</v>
      </c>
      <c r="AS20" s="2"/>
      <c r="AT20" s="1">
        <v>3</v>
      </c>
      <c r="AU20" s="2"/>
      <c r="AV20" s="1">
        <v>4</v>
      </c>
      <c r="AW20" s="2"/>
      <c r="AX20" s="1">
        <v>1</v>
      </c>
      <c r="AY20" s="2"/>
      <c r="AZ20" s="1">
        <v>2</v>
      </c>
      <c r="BA20" s="2"/>
      <c r="BB20" s="1">
        <v>3</v>
      </c>
      <c r="BC20" s="2"/>
      <c r="BD20" s="1">
        <v>1</v>
      </c>
      <c r="BE20" s="2"/>
      <c r="BF20" s="1">
        <v>2</v>
      </c>
      <c r="BG20" s="2"/>
      <c r="BH20" s="1">
        <v>1</v>
      </c>
      <c r="BI20" s="2"/>
    </row>
    <row r="21" spans="1:64" x14ac:dyDescent="0.25">
      <c r="A21" s="12" t="s">
        <v>6</v>
      </c>
      <c r="B21">
        <v>0.79127000000000003</v>
      </c>
      <c r="D21" s="100"/>
      <c r="E21" s="100"/>
      <c r="F21" s="1" t="s">
        <v>1</v>
      </c>
      <c r="G21" s="2" t="s">
        <v>2</v>
      </c>
      <c r="H21" s="1" t="s">
        <v>1</v>
      </c>
      <c r="I21" s="2" t="s">
        <v>3</v>
      </c>
      <c r="J21" s="1" t="s">
        <v>1</v>
      </c>
      <c r="K21" s="2" t="s">
        <v>4</v>
      </c>
      <c r="L21" s="1" t="s">
        <v>1</v>
      </c>
      <c r="M21" s="2" t="s">
        <v>5</v>
      </c>
      <c r="N21" s="1" t="s">
        <v>1</v>
      </c>
      <c r="O21" s="2" t="s">
        <v>6</v>
      </c>
      <c r="P21" s="1" t="s">
        <v>1</v>
      </c>
      <c r="Q21" s="2" t="s">
        <v>7</v>
      </c>
      <c r="R21" s="1" t="s">
        <v>1</v>
      </c>
      <c r="S21" s="2" t="s">
        <v>8</v>
      </c>
      <c r="T21" s="3" t="s">
        <v>9</v>
      </c>
      <c r="U21" s="2" t="s">
        <v>3</v>
      </c>
      <c r="V21" s="3" t="s">
        <v>9</v>
      </c>
      <c r="W21" s="2" t="s">
        <v>4</v>
      </c>
      <c r="X21" s="3" t="s">
        <v>9</v>
      </c>
      <c r="Y21" s="2" t="s">
        <v>5</v>
      </c>
      <c r="Z21" s="3" t="s">
        <v>9</v>
      </c>
      <c r="AA21" s="2" t="s">
        <v>6</v>
      </c>
      <c r="AB21" s="3" t="s">
        <v>9</v>
      </c>
      <c r="AC21" s="2" t="s">
        <v>7</v>
      </c>
      <c r="AD21" s="3" t="s">
        <v>9</v>
      </c>
      <c r="AE21" s="2" t="s">
        <v>8</v>
      </c>
      <c r="AF21" s="1" t="s">
        <v>3</v>
      </c>
      <c r="AG21" s="2" t="s">
        <v>4</v>
      </c>
      <c r="AH21" s="1" t="s">
        <v>3</v>
      </c>
      <c r="AI21" s="2" t="s">
        <v>5</v>
      </c>
      <c r="AJ21" s="1" t="s">
        <v>3</v>
      </c>
      <c r="AK21" s="2" t="s">
        <v>6</v>
      </c>
      <c r="AL21" s="1" t="s">
        <v>3</v>
      </c>
      <c r="AM21" s="2" t="s">
        <v>7</v>
      </c>
      <c r="AN21" s="1" t="s">
        <v>3</v>
      </c>
      <c r="AO21" s="2" t="s">
        <v>8</v>
      </c>
      <c r="AP21" s="1" t="s">
        <v>4</v>
      </c>
      <c r="AQ21" s="2" t="s">
        <v>5</v>
      </c>
      <c r="AR21" s="1" t="s">
        <v>4</v>
      </c>
      <c r="AS21" s="2" t="s">
        <v>6</v>
      </c>
      <c r="AT21" s="1" t="s">
        <v>4</v>
      </c>
      <c r="AU21" s="2" t="s">
        <v>7</v>
      </c>
      <c r="AV21" s="1" t="s">
        <v>4</v>
      </c>
      <c r="AW21" s="2" t="s">
        <v>8</v>
      </c>
      <c r="AX21" s="1" t="s">
        <v>5</v>
      </c>
      <c r="AY21" s="2" t="s">
        <v>6</v>
      </c>
      <c r="AZ21" s="1" t="s">
        <v>5</v>
      </c>
      <c r="BA21" s="2" t="s">
        <v>7</v>
      </c>
      <c r="BB21" s="1" t="s">
        <v>5</v>
      </c>
      <c r="BC21" s="2" t="s">
        <v>8</v>
      </c>
      <c r="BD21" s="1" t="s">
        <v>6</v>
      </c>
      <c r="BE21" s="2" t="s">
        <v>7</v>
      </c>
      <c r="BF21" s="1" t="s">
        <v>6</v>
      </c>
      <c r="BG21" s="2" t="s">
        <v>8</v>
      </c>
      <c r="BH21" s="1" t="s">
        <v>7</v>
      </c>
      <c r="BI21" s="2" t="s">
        <v>8</v>
      </c>
    </row>
    <row r="22" spans="1:64" x14ac:dyDescent="0.25">
      <c r="A22" s="12" t="s">
        <v>7</v>
      </c>
      <c r="B22">
        <v>0.78149000000000002</v>
      </c>
      <c r="D22" t="s">
        <v>12</v>
      </c>
      <c r="E22" t="s">
        <v>1</v>
      </c>
      <c r="F22" s="1">
        <v>0.96527999999999992</v>
      </c>
      <c r="G22" s="2">
        <v>0.6371</v>
      </c>
      <c r="H22" s="1">
        <v>0.96527999999999992</v>
      </c>
      <c r="I22" s="2">
        <v>0.24070999999999998</v>
      </c>
      <c r="J22" s="1">
        <v>0.96527999999999992</v>
      </c>
      <c r="K22" s="2">
        <v>0.32623000000000002</v>
      </c>
      <c r="L22" s="1">
        <v>0.96527999999999992</v>
      </c>
      <c r="M22" s="2">
        <v>0.70631999999999995</v>
      </c>
      <c r="N22" s="1">
        <v>0.96527999999999992</v>
      </c>
      <c r="O22" s="2">
        <v>0.32687999999999995</v>
      </c>
      <c r="P22" s="1">
        <v>0.96527999999999992</v>
      </c>
      <c r="Q22" s="2">
        <v>0.75485999999999986</v>
      </c>
      <c r="R22" s="1">
        <v>0.96527999999999992</v>
      </c>
      <c r="S22" s="2">
        <v>0.6109</v>
      </c>
      <c r="T22" s="1">
        <v>0.6371</v>
      </c>
      <c r="U22" s="2">
        <v>0.24070999999999998</v>
      </c>
      <c r="V22" s="1">
        <v>0.6371</v>
      </c>
      <c r="W22" s="2">
        <v>0.32623000000000002</v>
      </c>
      <c r="X22" s="1">
        <v>0.6371</v>
      </c>
      <c r="Y22" s="2">
        <v>0.70631999999999995</v>
      </c>
      <c r="Z22" s="1">
        <v>0.6371</v>
      </c>
      <c r="AA22" s="2">
        <v>0.32687999999999995</v>
      </c>
      <c r="AB22" s="1">
        <v>0.6371</v>
      </c>
      <c r="AC22" s="2">
        <v>0.75485999999999986</v>
      </c>
      <c r="AD22" s="1">
        <v>0.6371</v>
      </c>
      <c r="AE22" s="2">
        <v>0.6109</v>
      </c>
      <c r="AF22" s="1">
        <v>0.24070999999999998</v>
      </c>
      <c r="AG22" s="2">
        <v>0.32623000000000002</v>
      </c>
      <c r="AH22" s="1">
        <v>0.24070999999999998</v>
      </c>
      <c r="AI22" s="2">
        <v>0.70631999999999995</v>
      </c>
      <c r="AJ22" s="1">
        <v>0.24070999999999998</v>
      </c>
      <c r="AK22" s="2">
        <v>0.32687999999999995</v>
      </c>
      <c r="AL22" s="1">
        <v>0.24070999999999998</v>
      </c>
      <c r="AM22" s="2">
        <v>0.75485999999999986</v>
      </c>
      <c r="AN22" s="1">
        <v>0.24070999999999998</v>
      </c>
      <c r="AO22" s="2">
        <v>0.6109</v>
      </c>
      <c r="AP22" s="1">
        <v>0.32623000000000002</v>
      </c>
      <c r="AQ22" s="2">
        <v>0.70631999999999995</v>
      </c>
      <c r="AR22" s="1">
        <v>0.32623000000000002</v>
      </c>
      <c r="AS22" s="2">
        <v>0.32687999999999995</v>
      </c>
      <c r="AT22" s="1">
        <v>0.32623000000000002</v>
      </c>
      <c r="AU22" s="2">
        <v>0.75485999999999986</v>
      </c>
      <c r="AV22" s="1">
        <v>0.32623000000000002</v>
      </c>
      <c r="AW22" s="2">
        <v>0.6109</v>
      </c>
      <c r="AX22" s="1">
        <v>0.70631999999999995</v>
      </c>
      <c r="AY22" s="2">
        <v>0.32687999999999995</v>
      </c>
      <c r="AZ22" s="1">
        <v>0.70631999999999995</v>
      </c>
      <c r="BA22" s="2">
        <v>0.75485999999999986</v>
      </c>
      <c r="BB22" s="1">
        <v>0.70631999999999995</v>
      </c>
      <c r="BC22" s="2">
        <v>0.6109</v>
      </c>
      <c r="BD22" s="1">
        <v>0.32687999999999995</v>
      </c>
      <c r="BE22" s="2">
        <v>0.75485999999999986</v>
      </c>
      <c r="BF22" s="1">
        <v>0.32687999999999995</v>
      </c>
      <c r="BG22" s="2">
        <v>0.6109</v>
      </c>
      <c r="BH22" s="1">
        <v>0.75485999999999986</v>
      </c>
      <c r="BI22" s="2">
        <v>0.6109</v>
      </c>
    </row>
    <row r="23" spans="1:64" x14ac:dyDescent="0.25">
      <c r="A23" s="12" t="s">
        <v>8</v>
      </c>
      <c r="B23">
        <v>0.62721000000000005</v>
      </c>
      <c r="E23" s="6"/>
      <c r="F23" s="1" t="s">
        <v>1</v>
      </c>
      <c r="G23" s="2" t="s">
        <v>2</v>
      </c>
      <c r="H23" s="1" t="s">
        <v>1</v>
      </c>
      <c r="I23" s="2" t="s">
        <v>3</v>
      </c>
      <c r="J23" s="1" t="s">
        <v>1</v>
      </c>
      <c r="K23" s="2" t="s">
        <v>4</v>
      </c>
      <c r="L23" s="1" t="s">
        <v>1</v>
      </c>
      <c r="M23" s="2" t="s">
        <v>5</v>
      </c>
      <c r="N23" s="1" t="s">
        <v>1</v>
      </c>
      <c r="O23" s="2" t="s">
        <v>6</v>
      </c>
      <c r="P23" s="1" t="s">
        <v>1</v>
      </c>
      <c r="Q23" s="2" t="s">
        <v>7</v>
      </c>
      <c r="R23" s="1" t="s">
        <v>1</v>
      </c>
      <c r="S23" s="2" t="s">
        <v>8</v>
      </c>
      <c r="T23" s="3" t="s">
        <v>9</v>
      </c>
      <c r="U23" s="2" t="s">
        <v>3</v>
      </c>
      <c r="V23" s="3" t="s">
        <v>9</v>
      </c>
      <c r="W23" s="2" t="s">
        <v>4</v>
      </c>
      <c r="X23" s="3" t="s">
        <v>9</v>
      </c>
      <c r="Y23" s="2" t="s">
        <v>5</v>
      </c>
      <c r="Z23" s="3" t="s">
        <v>9</v>
      </c>
      <c r="AA23" s="2" t="s">
        <v>6</v>
      </c>
      <c r="AB23" s="3" t="s">
        <v>9</v>
      </c>
      <c r="AC23" s="2" t="s">
        <v>7</v>
      </c>
      <c r="AD23" s="3" t="s">
        <v>9</v>
      </c>
      <c r="AE23" s="2" t="s">
        <v>8</v>
      </c>
      <c r="AF23" s="1" t="s">
        <v>3</v>
      </c>
      <c r="AG23" s="2" t="s">
        <v>4</v>
      </c>
      <c r="AH23" s="1" t="s">
        <v>3</v>
      </c>
      <c r="AI23" s="2" t="s">
        <v>5</v>
      </c>
      <c r="AJ23" s="1" t="s">
        <v>3</v>
      </c>
      <c r="AK23" s="2" t="s">
        <v>6</v>
      </c>
      <c r="AL23" s="1" t="s">
        <v>3</v>
      </c>
      <c r="AM23" s="2" t="s">
        <v>7</v>
      </c>
      <c r="AN23" s="1" t="s">
        <v>3</v>
      </c>
      <c r="AO23" s="2" t="s">
        <v>8</v>
      </c>
      <c r="AP23" s="1" t="s">
        <v>4</v>
      </c>
      <c r="AQ23" s="2" t="s">
        <v>5</v>
      </c>
      <c r="AR23" s="1" t="s">
        <v>4</v>
      </c>
      <c r="AS23" s="2" t="s">
        <v>6</v>
      </c>
      <c r="AT23" s="1" t="s">
        <v>4</v>
      </c>
      <c r="AU23" s="2" t="s">
        <v>7</v>
      </c>
      <c r="AV23" s="1" t="s">
        <v>4</v>
      </c>
      <c r="AW23" s="2" t="s">
        <v>8</v>
      </c>
      <c r="AX23" s="1" t="s">
        <v>5</v>
      </c>
      <c r="AY23" s="2" t="s">
        <v>6</v>
      </c>
      <c r="AZ23" s="1" t="s">
        <v>5</v>
      </c>
      <c r="BA23" s="2" t="s">
        <v>7</v>
      </c>
      <c r="BB23" s="1" t="s">
        <v>5</v>
      </c>
      <c r="BC23" s="2" t="s">
        <v>8</v>
      </c>
      <c r="BD23" s="1" t="s">
        <v>6</v>
      </c>
      <c r="BE23" s="2" t="s">
        <v>7</v>
      </c>
      <c r="BF23" s="1" t="s">
        <v>6</v>
      </c>
      <c r="BG23" s="2" t="s">
        <v>8</v>
      </c>
      <c r="BH23" s="1" t="s">
        <v>7</v>
      </c>
      <c r="BI23" s="2" t="s">
        <v>8</v>
      </c>
    </row>
    <row r="24" spans="1:64" x14ac:dyDescent="0.25">
      <c r="A24" s="8">
        <v>100</v>
      </c>
      <c r="B24" s="17">
        <v>1</v>
      </c>
      <c r="D24" t="s">
        <v>12</v>
      </c>
      <c r="E24" t="s">
        <v>2</v>
      </c>
      <c r="F24" s="1">
        <v>0.77294000000000007</v>
      </c>
      <c r="G24" s="2">
        <v>0.96933000000000002</v>
      </c>
      <c r="H24" s="1">
        <v>0.77294000000000007</v>
      </c>
      <c r="I24" s="2">
        <v>0.57593000000000005</v>
      </c>
      <c r="J24" s="1">
        <v>0.77294000000000007</v>
      </c>
      <c r="K24" s="2">
        <v>0.42418000000000006</v>
      </c>
      <c r="L24" s="1">
        <v>0.77294000000000007</v>
      </c>
      <c r="M24" s="2">
        <v>0.67446000000000006</v>
      </c>
      <c r="N24" s="1">
        <v>0.77294000000000007</v>
      </c>
      <c r="O24" s="2">
        <v>0.32064000000000004</v>
      </c>
      <c r="P24" s="1">
        <v>0.77294000000000007</v>
      </c>
      <c r="Q24" s="2">
        <v>0.69056000000000017</v>
      </c>
      <c r="R24" s="1">
        <v>0.77294000000000007</v>
      </c>
      <c r="S24" s="2">
        <v>0.40231000000000006</v>
      </c>
      <c r="T24" s="1">
        <v>0.96933000000000002</v>
      </c>
      <c r="U24" s="2">
        <v>0.57593000000000005</v>
      </c>
      <c r="V24" s="1">
        <v>0.96933000000000002</v>
      </c>
      <c r="W24" s="2">
        <v>0.42418000000000006</v>
      </c>
      <c r="X24" s="1">
        <v>0.96933000000000002</v>
      </c>
      <c r="Y24" s="2">
        <v>0.67446000000000006</v>
      </c>
      <c r="Z24" s="1">
        <v>0.96933000000000002</v>
      </c>
      <c r="AA24" s="2">
        <v>0.32064000000000004</v>
      </c>
      <c r="AB24" s="1">
        <v>0.96933000000000002</v>
      </c>
      <c r="AC24" s="2">
        <v>0.69056000000000017</v>
      </c>
      <c r="AD24" s="1">
        <v>0.96933000000000002</v>
      </c>
      <c r="AE24" s="2">
        <v>0.40231000000000006</v>
      </c>
      <c r="AF24" s="1">
        <v>0.57593000000000005</v>
      </c>
      <c r="AG24" s="2">
        <v>0.42418000000000006</v>
      </c>
      <c r="AH24" s="1">
        <v>0.57593000000000005</v>
      </c>
      <c r="AI24" s="2">
        <v>0.67446000000000006</v>
      </c>
      <c r="AJ24" s="1">
        <v>0.57593000000000005</v>
      </c>
      <c r="AK24" s="2">
        <v>0.32064000000000004</v>
      </c>
      <c r="AL24" s="1">
        <v>0.57593000000000005</v>
      </c>
      <c r="AM24" s="2">
        <v>0.69056000000000017</v>
      </c>
      <c r="AN24" s="1">
        <v>0.57593000000000005</v>
      </c>
      <c r="AO24" s="2">
        <v>0.40231000000000006</v>
      </c>
      <c r="AP24" s="1">
        <v>0.42418000000000006</v>
      </c>
      <c r="AQ24" s="2">
        <v>0.67446000000000006</v>
      </c>
      <c r="AR24" s="1">
        <v>0.42418000000000006</v>
      </c>
      <c r="AS24" s="2">
        <v>0.32064000000000004</v>
      </c>
      <c r="AT24" s="1">
        <v>0.42418000000000006</v>
      </c>
      <c r="AU24" s="2">
        <v>0.69056000000000017</v>
      </c>
      <c r="AV24" s="1">
        <v>0.42418000000000006</v>
      </c>
      <c r="AW24" s="2">
        <v>0.40231000000000006</v>
      </c>
      <c r="AX24" s="1">
        <v>0.67446000000000006</v>
      </c>
      <c r="AY24" s="2">
        <v>0.32064000000000004</v>
      </c>
      <c r="AZ24" s="1">
        <v>0.67446000000000006</v>
      </c>
      <c r="BA24" s="2">
        <v>0.69056000000000017</v>
      </c>
      <c r="BB24" s="1">
        <v>0.67446000000000006</v>
      </c>
      <c r="BC24" s="2">
        <v>0.40231000000000006</v>
      </c>
      <c r="BD24" s="1">
        <v>0.32064000000000004</v>
      </c>
      <c r="BE24" s="2">
        <v>0.69056000000000017</v>
      </c>
      <c r="BF24" s="1">
        <v>0.32064000000000004</v>
      </c>
      <c r="BG24" s="2">
        <v>0.40231000000000006</v>
      </c>
      <c r="BH24" s="1">
        <v>0.69056000000000017</v>
      </c>
      <c r="BI24" s="2">
        <v>0.40231000000000006</v>
      </c>
    </row>
    <row r="25" spans="1:64" x14ac:dyDescent="0.25">
      <c r="A25" s="9"/>
      <c r="B25" s="17">
        <v>0.97838999999999987</v>
      </c>
      <c r="E25" s="6"/>
      <c r="F25" s="1" t="s">
        <v>1</v>
      </c>
      <c r="G25" s="2" t="s">
        <v>2</v>
      </c>
      <c r="H25" s="1" t="s">
        <v>1</v>
      </c>
      <c r="I25" s="2" t="s">
        <v>3</v>
      </c>
      <c r="J25" s="1" t="s">
        <v>1</v>
      </c>
      <c r="K25" s="2" t="s">
        <v>4</v>
      </c>
      <c r="L25" s="1" t="s">
        <v>1</v>
      </c>
      <c r="M25" s="2" t="s">
        <v>5</v>
      </c>
      <c r="N25" s="1" t="s">
        <v>1</v>
      </c>
      <c r="O25" s="2" t="s">
        <v>6</v>
      </c>
      <c r="P25" s="1" t="s">
        <v>1</v>
      </c>
      <c r="Q25" s="2" t="s">
        <v>7</v>
      </c>
      <c r="R25" s="1" t="s">
        <v>1</v>
      </c>
      <c r="S25" s="2" t="s">
        <v>8</v>
      </c>
      <c r="T25" s="3" t="s">
        <v>9</v>
      </c>
      <c r="U25" s="2" t="s">
        <v>3</v>
      </c>
      <c r="V25" s="3" t="s">
        <v>9</v>
      </c>
      <c r="W25" s="2" t="s">
        <v>4</v>
      </c>
      <c r="X25" s="3" t="s">
        <v>9</v>
      </c>
      <c r="Y25" s="2" t="s">
        <v>5</v>
      </c>
      <c r="Z25" s="3" t="s">
        <v>9</v>
      </c>
      <c r="AA25" s="2" t="s">
        <v>6</v>
      </c>
      <c r="AB25" s="3" t="s">
        <v>9</v>
      </c>
      <c r="AC25" s="2" t="s">
        <v>7</v>
      </c>
      <c r="AD25" s="3" t="s">
        <v>9</v>
      </c>
      <c r="AE25" s="2" t="s">
        <v>8</v>
      </c>
      <c r="AF25" s="1" t="s">
        <v>3</v>
      </c>
      <c r="AG25" s="2" t="s">
        <v>4</v>
      </c>
      <c r="AH25" s="1" t="s">
        <v>3</v>
      </c>
      <c r="AI25" s="2" t="s">
        <v>5</v>
      </c>
      <c r="AJ25" s="1" t="s">
        <v>3</v>
      </c>
      <c r="AK25" s="2" t="s">
        <v>6</v>
      </c>
      <c r="AL25" s="1" t="s">
        <v>3</v>
      </c>
      <c r="AM25" s="2" t="s">
        <v>7</v>
      </c>
      <c r="AN25" s="1" t="s">
        <v>3</v>
      </c>
      <c r="AO25" s="2" t="s">
        <v>8</v>
      </c>
      <c r="AP25" s="1" t="s">
        <v>4</v>
      </c>
      <c r="AQ25" s="2" t="s">
        <v>5</v>
      </c>
      <c r="AR25" s="1" t="s">
        <v>4</v>
      </c>
      <c r="AS25" s="2" t="s">
        <v>6</v>
      </c>
      <c r="AT25" s="1" t="s">
        <v>4</v>
      </c>
      <c r="AU25" s="2" t="s">
        <v>7</v>
      </c>
      <c r="AV25" s="1" t="s">
        <v>4</v>
      </c>
      <c r="AW25" s="2" t="s">
        <v>8</v>
      </c>
      <c r="AX25" s="1" t="s">
        <v>5</v>
      </c>
      <c r="AY25" s="2" t="s">
        <v>6</v>
      </c>
      <c r="AZ25" s="1" t="s">
        <v>5</v>
      </c>
      <c r="BA25" s="2" t="s">
        <v>7</v>
      </c>
      <c r="BB25" s="1" t="s">
        <v>5</v>
      </c>
      <c r="BC25" s="2" t="s">
        <v>8</v>
      </c>
      <c r="BD25" s="1" t="s">
        <v>6</v>
      </c>
      <c r="BE25" s="2" t="s">
        <v>7</v>
      </c>
      <c r="BF25" s="1" t="s">
        <v>6</v>
      </c>
      <c r="BG25" s="2" t="s">
        <v>8</v>
      </c>
      <c r="BH25" s="1" t="s">
        <v>7</v>
      </c>
      <c r="BI25" s="2" t="s">
        <v>8</v>
      </c>
    </row>
    <row r="26" spans="1:64" x14ac:dyDescent="0.25">
      <c r="A26" s="10" t="s">
        <v>18</v>
      </c>
      <c r="B26" s="18">
        <v>2200</v>
      </c>
      <c r="D26" t="s">
        <v>12</v>
      </c>
      <c r="E26" t="s">
        <v>3</v>
      </c>
      <c r="F26" s="1">
        <v>0.69097000000000008</v>
      </c>
      <c r="G26" s="2">
        <v>0.54074000000000011</v>
      </c>
      <c r="H26" s="1">
        <v>0.69097000000000008</v>
      </c>
      <c r="I26" s="2">
        <v>0.9190799999999999</v>
      </c>
      <c r="J26" s="1">
        <v>0.69097000000000008</v>
      </c>
      <c r="K26" s="2">
        <v>0.51046000000000002</v>
      </c>
      <c r="L26" s="1">
        <v>0.69097000000000008</v>
      </c>
      <c r="M26" s="2">
        <v>0.69289999999999996</v>
      </c>
      <c r="N26" s="1">
        <v>0.69097000000000008</v>
      </c>
      <c r="O26" s="2">
        <v>0.48528000000000004</v>
      </c>
      <c r="P26" s="1">
        <v>0.69097000000000008</v>
      </c>
      <c r="Q26" s="2">
        <v>0.58033999999999997</v>
      </c>
      <c r="R26" s="1">
        <v>0.69097000000000008</v>
      </c>
      <c r="S26" s="2">
        <v>0.12167000000000001</v>
      </c>
      <c r="T26" s="1">
        <v>0.54074000000000011</v>
      </c>
      <c r="U26" s="2">
        <v>0.9190799999999999</v>
      </c>
      <c r="V26" s="1">
        <v>0.54074000000000011</v>
      </c>
      <c r="W26" s="2">
        <v>0.51046000000000002</v>
      </c>
      <c r="X26" s="1">
        <v>0.54074000000000011</v>
      </c>
      <c r="Y26" s="2">
        <v>0.69289999999999996</v>
      </c>
      <c r="Z26" s="1">
        <v>0.54074000000000011</v>
      </c>
      <c r="AA26" s="2">
        <v>0.48528000000000004</v>
      </c>
      <c r="AB26" s="1">
        <v>0.54074000000000011</v>
      </c>
      <c r="AC26" s="2">
        <v>0.58033999999999997</v>
      </c>
      <c r="AD26" s="1">
        <v>0.54074000000000011</v>
      </c>
      <c r="AE26" s="2">
        <v>0.12167000000000001</v>
      </c>
      <c r="AF26" s="1">
        <v>0.9190799999999999</v>
      </c>
      <c r="AG26" s="2">
        <v>0.51046000000000002</v>
      </c>
      <c r="AH26" s="1">
        <v>0.9190799999999999</v>
      </c>
      <c r="AI26" s="2">
        <v>0.69289999999999996</v>
      </c>
      <c r="AJ26" s="1">
        <v>0.9190799999999999</v>
      </c>
      <c r="AK26" s="2">
        <v>0.48528000000000004</v>
      </c>
      <c r="AL26" s="1">
        <v>0.9190799999999999</v>
      </c>
      <c r="AM26" s="2">
        <v>0.58033999999999997</v>
      </c>
      <c r="AN26" s="1">
        <v>0.9190799999999999</v>
      </c>
      <c r="AO26" s="2">
        <v>0.12167000000000001</v>
      </c>
      <c r="AP26" s="1">
        <v>0.51046000000000002</v>
      </c>
      <c r="AQ26" s="2">
        <v>0.69289999999999996</v>
      </c>
      <c r="AR26" s="1">
        <v>0.51046000000000002</v>
      </c>
      <c r="AS26" s="2">
        <v>0.48528000000000004</v>
      </c>
      <c r="AT26" s="1">
        <v>0.51046000000000002</v>
      </c>
      <c r="AU26" s="2">
        <v>0.58033999999999997</v>
      </c>
      <c r="AV26" s="1">
        <v>0.51046000000000002</v>
      </c>
      <c r="AW26" s="2">
        <v>0.12167000000000001</v>
      </c>
      <c r="AX26" s="1">
        <v>0.69289999999999996</v>
      </c>
      <c r="AY26" s="2">
        <v>0.48528000000000004</v>
      </c>
      <c r="AZ26" s="1">
        <v>0.69289999999999996</v>
      </c>
      <c r="BA26" s="2">
        <v>0.58033999999999997</v>
      </c>
      <c r="BB26" s="1">
        <v>0.69289999999999996</v>
      </c>
      <c r="BC26" s="2">
        <v>0.12167000000000001</v>
      </c>
      <c r="BD26" s="1">
        <v>0.48528000000000004</v>
      </c>
      <c r="BE26" s="2">
        <v>0.58033999999999997</v>
      </c>
      <c r="BF26" s="1">
        <v>0.48528000000000004</v>
      </c>
      <c r="BG26" s="2">
        <v>0.12167000000000001</v>
      </c>
      <c r="BH26" s="1">
        <v>0.58033999999999997</v>
      </c>
      <c r="BI26" s="2">
        <v>0.12167000000000001</v>
      </c>
    </row>
    <row r="27" spans="1:64" x14ac:dyDescent="0.25">
      <c r="A27" s="12" t="s">
        <v>1</v>
      </c>
      <c r="B27">
        <v>0.73337000000000008</v>
      </c>
      <c r="E27" s="6"/>
      <c r="F27" s="1" t="s">
        <v>1</v>
      </c>
      <c r="G27" s="2" t="s">
        <v>2</v>
      </c>
      <c r="H27" s="1" t="s">
        <v>1</v>
      </c>
      <c r="I27" s="2" t="s">
        <v>3</v>
      </c>
      <c r="J27" s="1" t="s">
        <v>1</v>
      </c>
      <c r="K27" s="2" t="s">
        <v>4</v>
      </c>
      <c r="L27" s="1" t="s">
        <v>1</v>
      </c>
      <c r="M27" s="2" t="s">
        <v>5</v>
      </c>
      <c r="N27" s="1" t="s">
        <v>1</v>
      </c>
      <c r="O27" s="2" t="s">
        <v>6</v>
      </c>
      <c r="P27" s="1" t="s">
        <v>1</v>
      </c>
      <c r="Q27" s="2" t="s">
        <v>7</v>
      </c>
      <c r="R27" s="1" t="s">
        <v>1</v>
      </c>
      <c r="S27" s="2" t="s">
        <v>8</v>
      </c>
      <c r="T27" s="3" t="s">
        <v>9</v>
      </c>
      <c r="U27" s="2" t="s">
        <v>3</v>
      </c>
      <c r="V27" s="3" t="s">
        <v>9</v>
      </c>
      <c r="W27" s="2" t="s">
        <v>4</v>
      </c>
      <c r="X27" s="3" t="s">
        <v>9</v>
      </c>
      <c r="Y27" s="2" t="s">
        <v>5</v>
      </c>
      <c r="Z27" s="3" t="s">
        <v>9</v>
      </c>
      <c r="AA27" s="2" t="s">
        <v>6</v>
      </c>
      <c r="AB27" s="3" t="s">
        <v>9</v>
      </c>
      <c r="AC27" s="2" t="s">
        <v>7</v>
      </c>
      <c r="AD27" s="3" t="s">
        <v>9</v>
      </c>
      <c r="AE27" s="2" t="s">
        <v>8</v>
      </c>
      <c r="AF27" s="1" t="s">
        <v>3</v>
      </c>
      <c r="AG27" s="2" t="s">
        <v>4</v>
      </c>
      <c r="AH27" s="1" t="s">
        <v>3</v>
      </c>
      <c r="AI27" s="2" t="s">
        <v>5</v>
      </c>
      <c r="AJ27" s="1" t="s">
        <v>3</v>
      </c>
      <c r="AK27" s="2" t="s">
        <v>6</v>
      </c>
      <c r="AL27" s="1" t="s">
        <v>3</v>
      </c>
      <c r="AM27" s="2" t="s">
        <v>7</v>
      </c>
      <c r="AN27" s="1" t="s">
        <v>3</v>
      </c>
      <c r="AO27" s="2" t="s">
        <v>8</v>
      </c>
      <c r="AP27" s="1" t="s">
        <v>4</v>
      </c>
      <c r="AQ27" s="2" t="s">
        <v>5</v>
      </c>
      <c r="AR27" s="1" t="s">
        <v>4</v>
      </c>
      <c r="AS27" s="2" t="s">
        <v>6</v>
      </c>
      <c r="AT27" s="1" t="s">
        <v>4</v>
      </c>
      <c r="AU27" s="2" t="s">
        <v>7</v>
      </c>
      <c r="AV27" s="1" t="s">
        <v>4</v>
      </c>
      <c r="AW27" s="2" t="s">
        <v>8</v>
      </c>
      <c r="AX27" s="1" t="s">
        <v>5</v>
      </c>
      <c r="AY27" s="2" t="s">
        <v>6</v>
      </c>
      <c r="AZ27" s="1" t="s">
        <v>5</v>
      </c>
      <c r="BA27" s="2" t="s">
        <v>7</v>
      </c>
      <c r="BB27" s="1" t="s">
        <v>5</v>
      </c>
      <c r="BC27" s="2" t="s">
        <v>8</v>
      </c>
      <c r="BD27" s="1" t="s">
        <v>6</v>
      </c>
      <c r="BE27" s="2" t="s">
        <v>7</v>
      </c>
      <c r="BF27" s="1" t="s">
        <v>6</v>
      </c>
      <c r="BG27" s="2" t="s">
        <v>8</v>
      </c>
      <c r="BH27" s="1" t="s">
        <v>7</v>
      </c>
      <c r="BI27" s="2" t="s">
        <v>8</v>
      </c>
    </row>
    <row r="28" spans="1:64" x14ac:dyDescent="0.25">
      <c r="A28" s="12" t="s">
        <v>2</v>
      </c>
      <c r="B28">
        <v>0.81639000000000017</v>
      </c>
      <c r="D28" t="s">
        <v>12</v>
      </c>
      <c r="E28" t="s">
        <v>4</v>
      </c>
      <c r="F28" s="1">
        <v>0.70900000000000007</v>
      </c>
      <c r="G28" s="2">
        <v>0.52524999999999999</v>
      </c>
      <c r="H28" s="1">
        <v>0.70900000000000007</v>
      </c>
      <c r="I28" s="2">
        <v>0.45378999999999997</v>
      </c>
      <c r="J28" s="1">
        <v>0.70900000000000007</v>
      </c>
      <c r="K28" s="2">
        <v>0.89671000000000001</v>
      </c>
      <c r="L28" s="1">
        <v>0.70900000000000007</v>
      </c>
      <c r="M28" s="2">
        <v>0.79191</v>
      </c>
      <c r="N28" s="1">
        <v>0.70900000000000007</v>
      </c>
      <c r="O28" s="2">
        <v>0.49334</v>
      </c>
      <c r="P28" s="1">
        <v>0.70900000000000007</v>
      </c>
      <c r="Q28" s="2">
        <v>0.79005999999999987</v>
      </c>
      <c r="R28" s="1">
        <v>0.70900000000000007</v>
      </c>
      <c r="S28" s="2">
        <v>0.23923</v>
      </c>
      <c r="T28" s="1">
        <v>0.52524999999999999</v>
      </c>
      <c r="U28" s="2">
        <v>0.45378999999999997</v>
      </c>
      <c r="V28" s="1">
        <v>0.52524999999999999</v>
      </c>
      <c r="W28" s="2">
        <v>0.89671000000000001</v>
      </c>
      <c r="X28" s="1">
        <v>0.52524999999999999</v>
      </c>
      <c r="Y28" s="2">
        <v>0.79191</v>
      </c>
      <c r="Z28" s="1">
        <v>0.52524999999999999</v>
      </c>
      <c r="AA28" s="2">
        <v>0.49334</v>
      </c>
      <c r="AB28" s="1">
        <v>0.52524999999999999</v>
      </c>
      <c r="AC28" s="2">
        <v>0.79005999999999987</v>
      </c>
      <c r="AD28" s="1">
        <v>0.52524999999999999</v>
      </c>
      <c r="AE28" s="2">
        <v>0.23923</v>
      </c>
      <c r="AF28" s="1">
        <v>0.45378999999999997</v>
      </c>
      <c r="AG28" s="2">
        <v>0.89671000000000001</v>
      </c>
      <c r="AH28" s="1">
        <v>0.45378999999999997</v>
      </c>
      <c r="AI28" s="2">
        <v>0.79191</v>
      </c>
      <c r="AJ28" s="1">
        <v>0.45378999999999997</v>
      </c>
      <c r="AK28" s="2">
        <v>0.49334</v>
      </c>
      <c r="AL28" s="1">
        <v>0.45378999999999997</v>
      </c>
      <c r="AM28" s="2">
        <v>0.79005999999999987</v>
      </c>
      <c r="AN28" s="1">
        <v>0.45378999999999997</v>
      </c>
      <c r="AO28" s="2">
        <v>0.23923</v>
      </c>
      <c r="AP28" s="1">
        <v>0.89671000000000001</v>
      </c>
      <c r="AQ28" s="2">
        <v>0.79191</v>
      </c>
      <c r="AR28" s="1">
        <v>0.89671000000000001</v>
      </c>
      <c r="AS28" s="2">
        <v>0.49334</v>
      </c>
      <c r="AT28" s="1">
        <v>0.89671000000000001</v>
      </c>
      <c r="AU28" s="2">
        <v>0.79005999999999987</v>
      </c>
      <c r="AV28" s="1">
        <v>0.89671000000000001</v>
      </c>
      <c r="AW28" s="2">
        <v>0.23923</v>
      </c>
      <c r="AX28" s="1">
        <v>0.79191</v>
      </c>
      <c r="AY28" s="2">
        <v>0.49334</v>
      </c>
      <c r="AZ28" s="1">
        <v>0.79191</v>
      </c>
      <c r="BA28" s="2">
        <v>0.79005999999999987</v>
      </c>
      <c r="BB28" s="1">
        <v>0.79191</v>
      </c>
      <c r="BC28" s="2">
        <v>0.23923</v>
      </c>
      <c r="BD28" s="1">
        <v>0.49334</v>
      </c>
      <c r="BE28" s="2">
        <v>0.79005999999999987</v>
      </c>
      <c r="BF28" s="1">
        <v>0.49334</v>
      </c>
      <c r="BG28" s="2">
        <v>0.23923</v>
      </c>
      <c r="BH28" s="1">
        <v>0.79005999999999987</v>
      </c>
      <c r="BI28" s="2">
        <v>0.23923</v>
      </c>
    </row>
    <row r="29" spans="1:64" x14ac:dyDescent="0.25">
      <c r="A29" s="11" t="s">
        <v>3</v>
      </c>
      <c r="B29">
        <v>0.97838999999999987</v>
      </c>
      <c r="E29" s="6"/>
      <c r="F29" s="1" t="s">
        <v>1</v>
      </c>
      <c r="G29" s="2" t="s">
        <v>2</v>
      </c>
      <c r="H29" s="1" t="s">
        <v>1</v>
      </c>
      <c r="I29" s="2" t="s">
        <v>3</v>
      </c>
      <c r="J29" s="1" t="s">
        <v>1</v>
      </c>
      <c r="K29" s="2" t="s">
        <v>4</v>
      </c>
      <c r="L29" s="1" t="s">
        <v>1</v>
      </c>
      <c r="M29" s="2" t="s">
        <v>5</v>
      </c>
      <c r="N29" s="1" t="s">
        <v>1</v>
      </c>
      <c r="O29" s="2" t="s">
        <v>6</v>
      </c>
      <c r="P29" s="1" t="s">
        <v>1</v>
      </c>
      <c r="Q29" s="2" t="s">
        <v>7</v>
      </c>
      <c r="R29" s="1" t="s">
        <v>1</v>
      </c>
      <c r="S29" s="2" t="s">
        <v>8</v>
      </c>
      <c r="T29" s="3" t="s">
        <v>9</v>
      </c>
      <c r="U29" s="2" t="s">
        <v>3</v>
      </c>
      <c r="V29" s="3" t="s">
        <v>9</v>
      </c>
      <c r="W29" s="2" t="s">
        <v>4</v>
      </c>
      <c r="X29" s="3" t="s">
        <v>9</v>
      </c>
      <c r="Y29" s="2" t="s">
        <v>5</v>
      </c>
      <c r="Z29" s="3" t="s">
        <v>9</v>
      </c>
      <c r="AA29" s="2" t="s">
        <v>6</v>
      </c>
      <c r="AB29" s="3" t="s">
        <v>9</v>
      </c>
      <c r="AC29" s="2" t="s">
        <v>7</v>
      </c>
      <c r="AD29" s="3" t="s">
        <v>9</v>
      </c>
      <c r="AE29" s="2" t="s">
        <v>8</v>
      </c>
      <c r="AF29" s="1" t="s">
        <v>3</v>
      </c>
      <c r="AG29" s="2" t="s">
        <v>4</v>
      </c>
      <c r="AH29" s="1" t="s">
        <v>3</v>
      </c>
      <c r="AI29" s="2" t="s">
        <v>5</v>
      </c>
      <c r="AJ29" s="1" t="s">
        <v>3</v>
      </c>
      <c r="AK29" s="2" t="s">
        <v>6</v>
      </c>
      <c r="AL29" s="1" t="s">
        <v>3</v>
      </c>
      <c r="AM29" s="2" t="s">
        <v>7</v>
      </c>
      <c r="AN29" s="1" t="s">
        <v>3</v>
      </c>
      <c r="AO29" s="2" t="s">
        <v>8</v>
      </c>
      <c r="AP29" s="1" t="s">
        <v>4</v>
      </c>
      <c r="AQ29" s="2" t="s">
        <v>5</v>
      </c>
      <c r="AR29" s="1" t="s">
        <v>4</v>
      </c>
      <c r="AS29" s="2" t="s">
        <v>6</v>
      </c>
      <c r="AT29" s="1" t="s">
        <v>4</v>
      </c>
      <c r="AU29" s="2" t="s">
        <v>7</v>
      </c>
      <c r="AV29" s="1" t="s">
        <v>4</v>
      </c>
      <c r="AW29" s="2" t="s">
        <v>8</v>
      </c>
      <c r="AX29" s="1" t="s">
        <v>5</v>
      </c>
      <c r="AY29" s="2" t="s">
        <v>6</v>
      </c>
      <c r="AZ29" s="1" t="s">
        <v>5</v>
      </c>
      <c r="BA29" s="2" t="s">
        <v>7</v>
      </c>
      <c r="BB29" s="1" t="s">
        <v>5</v>
      </c>
      <c r="BC29" s="2" t="s">
        <v>8</v>
      </c>
      <c r="BD29" s="1" t="s">
        <v>6</v>
      </c>
      <c r="BE29" s="2" t="s">
        <v>7</v>
      </c>
      <c r="BF29" s="1" t="s">
        <v>6</v>
      </c>
      <c r="BG29" s="2" t="s">
        <v>8</v>
      </c>
      <c r="BH29" s="1" t="s">
        <v>7</v>
      </c>
      <c r="BI29" s="2" t="s">
        <v>8</v>
      </c>
    </row>
    <row r="30" spans="1:64" x14ac:dyDescent="0.25">
      <c r="A30" s="12" t="s">
        <v>10</v>
      </c>
      <c r="B30">
        <v>0.78296999999999994</v>
      </c>
      <c r="D30" t="s">
        <v>12</v>
      </c>
      <c r="E30" t="s">
        <v>5</v>
      </c>
      <c r="F30" s="1">
        <v>0.78256999999999999</v>
      </c>
      <c r="G30" s="2">
        <v>0.55701999999999996</v>
      </c>
      <c r="H30" s="1">
        <v>0.78256999999999999</v>
      </c>
      <c r="I30" s="2">
        <v>0.37486000000000003</v>
      </c>
      <c r="J30" s="1">
        <v>0.78256999999999999</v>
      </c>
      <c r="K30" s="2">
        <v>0.66464000000000001</v>
      </c>
      <c r="L30" s="1">
        <v>0.78256999999999999</v>
      </c>
      <c r="M30" s="2">
        <v>0.97483000000000009</v>
      </c>
      <c r="N30" s="1">
        <v>0.78256999999999999</v>
      </c>
      <c r="O30" s="2">
        <v>0.38954999999999995</v>
      </c>
      <c r="P30" s="1">
        <v>0.78256999999999999</v>
      </c>
      <c r="Q30" s="2">
        <v>0.82530999999999999</v>
      </c>
      <c r="R30" s="1">
        <v>0.78256999999999999</v>
      </c>
      <c r="S30" s="2">
        <v>0.43934000000000006</v>
      </c>
      <c r="T30" s="1">
        <v>0.55701999999999996</v>
      </c>
      <c r="U30" s="2">
        <v>0.37486000000000003</v>
      </c>
      <c r="V30" s="1">
        <v>0.55701999999999996</v>
      </c>
      <c r="W30" s="2">
        <v>0.66464000000000001</v>
      </c>
      <c r="X30" s="1">
        <v>0.55701999999999996</v>
      </c>
      <c r="Y30" s="2">
        <v>0.97483000000000009</v>
      </c>
      <c r="Z30" s="1">
        <v>0.55701999999999996</v>
      </c>
      <c r="AA30" s="2">
        <v>0.38954999999999995</v>
      </c>
      <c r="AB30" s="1">
        <v>0.55701999999999996</v>
      </c>
      <c r="AC30" s="2">
        <v>0.82530999999999999</v>
      </c>
      <c r="AD30" s="1">
        <v>0.55701999999999996</v>
      </c>
      <c r="AE30" s="2">
        <v>0.43934000000000006</v>
      </c>
      <c r="AF30" s="1">
        <v>0.37486000000000003</v>
      </c>
      <c r="AG30" s="2">
        <v>0.66464000000000001</v>
      </c>
      <c r="AH30" s="1">
        <v>0.37486000000000003</v>
      </c>
      <c r="AI30" s="2">
        <v>0.97483000000000009</v>
      </c>
      <c r="AJ30" s="1">
        <v>0.37486000000000003</v>
      </c>
      <c r="AK30" s="2">
        <v>0.38954999999999995</v>
      </c>
      <c r="AL30" s="1">
        <v>0.37486000000000003</v>
      </c>
      <c r="AM30" s="2">
        <v>0.82530999999999999</v>
      </c>
      <c r="AN30" s="1">
        <v>0.37486000000000003</v>
      </c>
      <c r="AO30" s="2">
        <v>0.43934000000000006</v>
      </c>
      <c r="AP30" s="1">
        <v>0.66464000000000001</v>
      </c>
      <c r="AQ30" s="2">
        <v>0.97483000000000009</v>
      </c>
      <c r="AR30" s="1">
        <v>0.66464000000000001</v>
      </c>
      <c r="AS30" s="2">
        <v>0.38954999999999995</v>
      </c>
      <c r="AT30" s="1">
        <v>0.66464000000000001</v>
      </c>
      <c r="AU30" s="2">
        <v>0.82530999999999999</v>
      </c>
      <c r="AV30" s="1">
        <v>0.66464000000000001</v>
      </c>
      <c r="AW30" s="2">
        <v>0.43934000000000006</v>
      </c>
      <c r="AX30" s="1">
        <v>0.97483000000000009</v>
      </c>
      <c r="AY30" s="2">
        <v>0.38954999999999995</v>
      </c>
      <c r="AZ30" s="1">
        <v>0.97483000000000009</v>
      </c>
      <c r="BA30" s="2">
        <v>0.82530999999999999</v>
      </c>
      <c r="BB30" s="1">
        <v>0.97483000000000009</v>
      </c>
      <c r="BC30" s="2">
        <v>0.43934000000000006</v>
      </c>
      <c r="BD30" s="1">
        <v>0.38954999999999995</v>
      </c>
      <c r="BE30" s="2">
        <v>0.82530999999999999</v>
      </c>
      <c r="BF30" s="1">
        <v>0.38954999999999995</v>
      </c>
      <c r="BG30" s="2">
        <v>0.43934000000000006</v>
      </c>
      <c r="BH30" s="1">
        <v>0.82530999999999999</v>
      </c>
      <c r="BI30" s="2">
        <v>0.43934000000000006</v>
      </c>
    </row>
    <row r="31" spans="1:64" x14ac:dyDescent="0.25">
      <c r="A31" s="12" t="s">
        <v>11</v>
      </c>
      <c r="B31">
        <v>0.78815000000000002</v>
      </c>
      <c r="E31" s="6"/>
      <c r="F31" s="1" t="s">
        <v>1</v>
      </c>
      <c r="G31" s="2" t="s">
        <v>2</v>
      </c>
      <c r="H31" s="1" t="s">
        <v>1</v>
      </c>
      <c r="I31" s="2" t="s">
        <v>3</v>
      </c>
      <c r="J31" s="1" t="s">
        <v>1</v>
      </c>
      <c r="K31" s="2" t="s">
        <v>4</v>
      </c>
      <c r="L31" s="1" t="s">
        <v>1</v>
      </c>
      <c r="M31" s="2" t="s">
        <v>5</v>
      </c>
      <c r="N31" s="1" t="s">
        <v>1</v>
      </c>
      <c r="O31" s="2" t="s">
        <v>6</v>
      </c>
      <c r="P31" s="1" t="s">
        <v>1</v>
      </c>
      <c r="Q31" s="2" t="s">
        <v>7</v>
      </c>
      <c r="R31" s="1" t="s">
        <v>1</v>
      </c>
      <c r="S31" s="2" t="s">
        <v>8</v>
      </c>
      <c r="T31" s="3" t="s">
        <v>9</v>
      </c>
      <c r="U31" s="2" t="s">
        <v>3</v>
      </c>
      <c r="V31" s="3" t="s">
        <v>9</v>
      </c>
      <c r="W31" s="2" t="s">
        <v>4</v>
      </c>
      <c r="X31" s="3" t="s">
        <v>9</v>
      </c>
      <c r="Y31" s="2" t="s">
        <v>5</v>
      </c>
      <c r="Z31" s="3" t="s">
        <v>9</v>
      </c>
      <c r="AA31" s="2" t="s">
        <v>6</v>
      </c>
      <c r="AB31" s="3" t="s">
        <v>9</v>
      </c>
      <c r="AC31" s="2" t="s">
        <v>7</v>
      </c>
      <c r="AD31" s="3" t="s">
        <v>9</v>
      </c>
      <c r="AE31" s="2" t="s">
        <v>8</v>
      </c>
      <c r="AF31" s="1" t="s">
        <v>3</v>
      </c>
      <c r="AG31" s="2" t="s">
        <v>4</v>
      </c>
      <c r="AH31" s="1" t="s">
        <v>3</v>
      </c>
      <c r="AI31" s="2" t="s">
        <v>5</v>
      </c>
      <c r="AJ31" s="1" t="s">
        <v>3</v>
      </c>
      <c r="AK31" s="2" t="s">
        <v>6</v>
      </c>
      <c r="AL31" s="1" t="s">
        <v>3</v>
      </c>
      <c r="AM31" s="2" t="s">
        <v>7</v>
      </c>
      <c r="AN31" s="1" t="s">
        <v>3</v>
      </c>
      <c r="AO31" s="2" t="s">
        <v>8</v>
      </c>
      <c r="AP31" s="1" t="s">
        <v>4</v>
      </c>
      <c r="AQ31" s="2" t="s">
        <v>5</v>
      </c>
      <c r="AR31" s="1" t="s">
        <v>4</v>
      </c>
      <c r="AS31" s="2" t="s">
        <v>6</v>
      </c>
      <c r="AT31" s="1" t="s">
        <v>4</v>
      </c>
      <c r="AU31" s="2" t="s">
        <v>7</v>
      </c>
      <c r="AV31" s="1" t="s">
        <v>4</v>
      </c>
      <c r="AW31" s="2" t="s">
        <v>8</v>
      </c>
      <c r="AX31" s="1" t="s">
        <v>5</v>
      </c>
      <c r="AY31" s="2" t="s">
        <v>6</v>
      </c>
      <c r="AZ31" s="1" t="s">
        <v>5</v>
      </c>
      <c r="BA31" s="2" t="s">
        <v>7</v>
      </c>
      <c r="BB31" s="1" t="s">
        <v>5</v>
      </c>
      <c r="BC31" s="2" t="s">
        <v>8</v>
      </c>
      <c r="BD31" s="1" t="s">
        <v>6</v>
      </c>
      <c r="BE31" s="2" t="s">
        <v>7</v>
      </c>
      <c r="BF31" s="1" t="s">
        <v>6</v>
      </c>
      <c r="BG31" s="2" t="s">
        <v>8</v>
      </c>
      <c r="BH31" s="1" t="s">
        <v>7</v>
      </c>
      <c r="BI31" s="2" t="s">
        <v>8</v>
      </c>
    </row>
    <row r="32" spans="1:64" x14ac:dyDescent="0.25">
      <c r="A32" s="12" t="s">
        <v>6</v>
      </c>
      <c r="B32">
        <v>0.75656999999999996</v>
      </c>
      <c r="D32" t="s">
        <v>12</v>
      </c>
      <c r="E32" t="s">
        <v>6</v>
      </c>
      <c r="F32" s="1">
        <v>0.67493999999999998</v>
      </c>
      <c r="G32" s="2">
        <v>0.32899</v>
      </c>
      <c r="H32" s="1">
        <v>0.67493999999999998</v>
      </c>
      <c r="I32" s="2">
        <v>0.55304000000000009</v>
      </c>
      <c r="J32" s="1">
        <v>0.67493999999999998</v>
      </c>
      <c r="K32" s="2">
        <v>0.70763999999999994</v>
      </c>
      <c r="L32" s="1">
        <v>0.67493999999999998</v>
      </c>
      <c r="M32" s="2">
        <v>0.77747999999999995</v>
      </c>
      <c r="N32" s="1">
        <v>0.67493999999999998</v>
      </c>
      <c r="O32" s="2">
        <v>0.94740000000000002</v>
      </c>
      <c r="P32" s="1">
        <v>0.67493999999999998</v>
      </c>
      <c r="Q32" s="2">
        <v>0.77698999999999996</v>
      </c>
      <c r="R32" s="1">
        <v>0.67493999999999998</v>
      </c>
      <c r="S32" s="2">
        <v>0.24142000000000002</v>
      </c>
      <c r="T32" s="1">
        <v>0.32899</v>
      </c>
      <c r="U32" s="2">
        <v>0.55304000000000009</v>
      </c>
      <c r="V32" s="1">
        <v>0.32899</v>
      </c>
      <c r="W32" s="2">
        <v>0.70763999999999994</v>
      </c>
      <c r="X32" s="1">
        <v>0.32899</v>
      </c>
      <c r="Y32" s="2">
        <v>0.77747999999999995</v>
      </c>
      <c r="Z32" s="1">
        <v>0.32899</v>
      </c>
      <c r="AA32" s="2">
        <v>0.94740000000000002</v>
      </c>
      <c r="AB32" s="1">
        <v>0.32899</v>
      </c>
      <c r="AC32" s="2">
        <v>0.77698999999999996</v>
      </c>
      <c r="AD32" s="1">
        <v>0.32899</v>
      </c>
      <c r="AE32" s="2">
        <v>0.24142000000000002</v>
      </c>
      <c r="AF32" s="1">
        <v>0.55304000000000009</v>
      </c>
      <c r="AG32" s="2">
        <v>0.70763999999999994</v>
      </c>
      <c r="AH32" s="1">
        <v>0.55304000000000009</v>
      </c>
      <c r="AI32" s="2">
        <v>0.77747999999999995</v>
      </c>
      <c r="AJ32" s="1">
        <v>0.55304000000000009</v>
      </c>
      <c r="AK32" s="2">
        <v>0.94740000000000002</v>
      </c>
      <c r="AL32" s="1">
        <v>0.55304000000000009</v>
      </c>
      <c r="AM32" s="2">
        <v>0.77698999999999996</v>
      </c>
      <c r="AN32" s="1">
        <v>0.55304000000000009</v>
      </c>
      <c r="AO32" s="2">
        <v>0.24142000000000002</v>
      </c>
      <c r="AP32" s="1">
        <v>0.70763999999999994</v>
      </c>
      <c r="AQ32" s="2">
        <v>0.77747999999999995</v>
      </c>
      <c r="AR32" s="1">
        <v>0.70763999999999994</v>
      </c>
      <c r="AS32" s="2">
        <v>0.94740000000000002</v>
      </c>
      <c r="AT32" s="1">
        <v>0.70763999999999994</v>
      </c>
      <c r="AU32" s="2">
        <v>0.77698999999999996</v>
      </c>
      <c r="AV32" s="1">
        <v>0.70763999999999994</v>
      </c>
      <c r="AW32" s="2">
        <v>0.24142000000000002</v>
      </c>
      <c r="AX32" s="1">
        <v>0.77747999999999995</v>
      </c>
      <c r="AY32" s="2">
        <v>0.94740000000000002</v>
      </c>
      <c r="AZ32" s="1">
        <v>0.77747999999999995</v>
      </c>
      <c r="BA32" s="2">
        <v>0.77698999999999996</v>
      </c>
      <c r="BB32" s="1">
        <v>0.77747999999999995</v>
      </c>
      <c r="BC32" s="2">
        <v>0.24142000000000002</v>
      </c>
      <c r="BD32" s="1">
        <v>0.94740000000000002</v>
      </c>
      <c r="BE32" s="2">
        <v>0.77698999999999996</v>
      </c>
      <c r="BF32" s="1">
        <v>0.94740000000000002</v>
      </c>
      <c r="BG32" s="2">
        <v>0.24142000000000002</v>
      </c>
      <c r="BH32" s="1">
        <v>0.77698999999999996</v>
      </c>
      <c r="BI32" s="2">
        <v>0.24142000000000002</v>
      </c>
    </row>
    <row r="33" spans="1:61" x14ac:dyDescent="0.25">
      <c r="A33" s="12" t="s">
        <v>7</v>
      </c>
      <c r="B33">
        <v>0.84122000000000008</v>
      </c>
      <c r="E33" s="6"/>
      <c r="F33" s="1" t="s">
        <v>1</v>
      </c>
      <c r="G33" s="2" t="s">
        <v>2</v>
      </c>
      <c r="H33" s="1" t="s">
        <v>1</v>
      </c>
      <c r="I33" s="2" t="s">
        <v>3</v>
      </c>
      <c r="J33" s="1" t="s">
        <v>1</v>
      </c>
      <c r="K33" s="2" t="s">
        <v>4</v>
      </c>
      <c r="L33" s="1" t="s">
        <v>1</v>
      </c>
      <c r="M33" s="2" t="s">
        <v>5</v>
      </c>
      <c r="N33" s="1" t="s">
        <v>1</v>
      </c>
      <c r="O33" s="2" t="s">
        <v>6</v>
      </c>
      <c r="P33" s="1" t="s">
        <v>1</v>
      </c>
      <c r="Q33" s="2" t="s">
        <v>7</v>
      </c>
      <c r="R33" s="1" t="s">
        <v>1</v>
      </c>
      <c r="S33" s="2" t="s">
        <v>8</v>
      </c>
      <c r="T33" s="3" t="s">
        <v>9</v>
      </c>
      <c r="U33" s="2" t="s">
        <v>3</v>
      </c>
      <c r="V33" s="3" t="s">
        <v>9</v>
      </c>
      <c r="W33" s="2" t="s">
        <v>4</v>
      </c>
      <c r="X33" s="3" t="s">
        <v>9</v>
      </c>
      <c r="Y33" s="2" t="s">
        <v>5</v>
      </c>
      <c r="Z33" s="3" t="s">
        <v>9</v>
      </c>
      <c r="AA33" s="2" t="s">
        <v>6</v>
      </c>
      <c r="AB33" s="3" t="s">
        <v>9</v>
      </c>
      <c r="AC33" s="2" t="s">
        <v>7</v>
      </c>
      <c r="AD33" s="3" t="s">
        <v>9</v>
      </c>
      <c r="AE33" s="2" t="s">
        <v>8</v>
      </c>
      <c r="AF33" s="1" t="s">
        <v>3</v>
      </c>
      <c r="AG33" s="2" t="s">
        <v>4</v>
      </c>
      <c r="AH33" s="1" t="s">
        <v>3</v>
      </c>
      <c r="AI33" s="2" t="s">
        <v>5</v>
      </c>
      <c r="AJ33" s="1" t="s">
        <v>3</v>
      </c>
      <c r="AK33" s="2" t="s">
        <v>6</v>
      </c>
      <c r="AL33" s="1" t="s">
        <v>3</v>
      </c>
      <c r="AM33" s="2" t="s">
        <v>7</v>
      </c>
      <c r="AN33" s="1" t="s">
        <v>3</v>
      </c>
      <c r="AO33" s="2" t="s">
        <v>8</v>
      </c>
      <c r="AP33" s="1" t="s">
        <v>4</v>
      </c>
      <c r="AQ33" s="2" t="s">
        <v>5</v>
      </c>
      <c r="AR33" s="1" t="s">
        <v>4</v>
      </c>
      <c r="AS33" s="2" t="s">
        <v>6</v>
      </c>
      <c r="AT33" s="1" t="s">
        <v>4</v>
      </c>
      <c r="AU33" s="2" t="s">
        <v>7</v>
      </c>
      <c r="AV33" s="1" t="s">
        <v>4</v>
      </c>
      <c r="AW33" s="2" t="s">
        <v>8</v>
      </c>
      <c r="AX33" s="1" t="s">
        <v>5</v>
      </c>
      <c r="AY33" s="2" t="s">
        <v>6</v>
      </c>
      <c r="AZ33" s="1" t="s">
        <v>5</v>
      </c>
      <c r="BA33" s="2" t="s">
        <v>7</v>
      </c>
      <c r="BB33" s="1" t="s">
        <v>5</v>
      </c>
      <c r="BC33" s="2" t="s">
        <v>8</v>
      </c>
      <c r="BD33" s="1" t="s">
        <v>6</v>
      </c>
      <c r="BE33" s="2" t="s">
        <v>7</v>
      </c>
      <c r="BF33" s="1" t="s">
        <v>6</v>
      </c>
      <c r="BG33" s="2" t="s">
        <v>8</v>
      </c>
      <c r="BH33" s="1" t="s">
        <v>7</v>
      </c>
      <c r="BI33" s="2" t="s">
        <v>8</v>
      </c>
    </row>
    <row r="34" spans="1:61" x14ac:dyDescent="0.25">
      <c r="A34" s="12" t="s">
        <v>8</v>
      </c>
      <c r="B34">
        <v>0.53949999999999998</v>
      </c>
      <c r="D34" t="s">
        <v>12</v>
      </c>
      <c r="E34" t="s">
        <v>7</v>
      </c>
      <c r="F34" s="1">
        <v>0.70730000000000004</v>
      </c>
      <c r="G34" s="2">
        <v>0.63534999999999997</v>
      </c>
      <c r="H34" s="1">
        <v>0.70730000000000004</v>
      </c>
      <c r="I34" s="2">
        <v>0.53007000000000004</v>
      </c>
      <c r="J34" s="1">
        <v>0.70730000000000004</v>
      </c>
      <c r="K34" s="2">
        <v>0.33493000000000006</v>
      </c>
      <c r="L34" s="1">
        <v>0.70730000000000004</v>
      </c>
      <c r="M34" s="2">
        <v>0.70492999999999983</v>
      </c>
      <c r="N34" s="1">
        <v>0.70730000000000004</v>
      </c>
      <c r="O34" s="2">
        <v>0.32724999999999999</v>
      </c>
      <c r="P34" s="1">
        <v>0.70730000000000004</v>
      </c>
      <c r="Q34" s="2">
        <v>0.97676999999999992</v>
      </c>
      <c r="R34" s="1">
        <v>0.70730000000000004</v>
      </c>
      <c r="S34" s="2">
        <v>0.54712999999999989</v>
      </c>
      <c r="T34" s="1">
        <v>0.63534999999999997</v>
      </c>
      <c r="U34" s="2">
        <v>0.53007000000000004</v>
      </c>
      <c r="V34" s="1">
        <v>0.63534999999999997</v>
      </c>
      <c r="W34" s="2">
        <v>0.33493000000000006</v>
      </c>
      <c r="X34" s="1">
        <v>0.63534999999999997</v>
      </c>
      <c r="Y34" s="2">
        <v>0.70492999999999983</v>
      </c>
      <c r="Z34" s="1">
        <v>0.63534999999999997</v>
      </c>
      <c r="AA34" s="2">
        <v>0.32724999999999999</v>
      </c>
      <c r="AB34" s="1">
        <v>0.63534999999999997</v>
      </c>
      <c r="AC34" s="2">
        <v>0.97676999999999992</v>
      </c>
      <c r="AD34" s="1">
        <v>0.63534999999999997</v>
      </c>
      <c r="AE34" s="2">
        <v>0.54712999999999989</v>
      </c>
      <c r="AF34" s="1">
        <v>0.53007000000000004</v>
      </c>
      <c r="AG34" s="2">
        <v>0.33493000000000006</v>
      </c>
      <c r="AH34" s="1">
        <v>0.53007000000000004</v>
      </c>
      <c r="AI34" s="2">
        <v>0.70492999999999983</v>
      </c>
      <c r="AJ34" s="1">
        <v>0.53007000000000004</v>
      </c>
      <c r="AK34" s="2">
        <v>0.32724999999999999</v>
      </c>
      <c r="AL34" s="1">
        <v>0.53007000000000004</v>
      </c>
      <c r="AM34" s="2">
        <v>0.97676999999999992</v>
      </c>
      <c r="AN34" s="1">
        <v>0.53007000000000004</v>
      </c>
      <c r="AO34" s="2">
        <v>0.54712999999999989</v>
      </c>
      <c r="AP34" s="1">
        <v>0.33493000000000006</v>
      </c>
      <c r="AQ34" s="2">
        <v>0.70492999999999983</v>
      </c>
      <c r="AR34" s="1">
        <v>0.33493000000000006</v>
      </c>
      <c r="AS34" s="2">
        <v>0.32724999999999999</v>
      </c>
      <c r="AT34" s="1">
        <v>0.33493000000000006</v>
      </c>
      <c r="AU34" s="2">
        <v>0.97676999999999992</v>
      </c>
      <c r="AV34" s="1">
        <v>0.33493000000000006</v>
      </c>
      <c r="AW34" s="2">
        <v>0.54712999999999989</v>
      </c>
      <c r="AX34" s="1">
        <v>0.70492999999999983</v>
      </c>
      <c r="AY34" s="2">
        <v>0.32724999999999999</v>
      </c>
      <c r="AZ34" s="1">
        <v>0.70492999999999983</v>
      </c>
      <c r="BA34" s="2">
        <v>0.97676999999999992</v>
      </c>
      <c r="BB34" s="1">
        <v>0.70492999999999983</v>
      </c>
      <c r="BC34" s="2">
        <v>0.54712999999999989</v>
      </c>
      <c r="BD34" s="1">
        <v>0.32724999999999999</v>
      </c>
      <c r="BE34" s="2">
        <v>0.97676999999999992</v>
      </c>
      <c r="BF34" s="1">
        <v>0.32724999999999999</v>
      </c>
      <c r="BG34" s="2">
        <v>0.54712999999999989</v>
      </c>
      <c r="BH34" s="1">
        <v>0.97676999999999992</v>
      </c>
      <c r="BI34" s="2">
        <v>0.54712999999999989</v>
      </c>
    </row>
    <row r="35" spans="1:61" x14ac:dyDescent="0.25">
      <c r="A35" s="8">
        <v>18</v>
      </c>
      <c r="B35" s="17">
        <v>1</v>
      </c>
      <c r="F35" s="1" t="s">
        <v>1</v>
      </c>
      <c r="G35" s="2" t="s">
        <v>2</v>
      </c>
      <c r="H35" s="1" t="s">
        <v>1</v>
      </c>
      <c r="I35" s="2" t="s">
        <v>3</v>
      </c>
      <c r="J35" s="1" t="s">
        <v>1</v>
      </c>
      <c r="K35" s="2" t="s">
        <v>4</v>
      </c>
      <c r="L35" s="1" t="s">
        <v>1</v>
      </c>
      <c r="M35" s="2" t="s">
        <v>5</v>
      </c>
      <c r="N35" s="1" t="s">
        <v>1</v>
      </c>
      <c r="O35" s="2" t="s">
        <v>6</v>
      </c>
      <c r="P35" s="1" t="s">
        <v>1</v>
      </c>
      <c r="Q35" s="2" t="s">
        <v>7</v>
      </c>
      <c r="R35" s="1" t="s">
        <v>1</v>
      </c>
      <c r="S35" s="2" t="s">
        <v>8</v>
      </c>
      <c r="T35" s="3" t="s">
        <v>9</v>
      </c>
      <c r="U35" s="2" t="s">
        <v>3</v>
      </c>
      <c r="V35" s="3" t="s">
        <v>9</v>
      </c>
      <c r="W35" s="2" t="s">
        <v>4</v>
      </c>
      <c r="X35" s="3" t="s">
        <v>9</v>
      </c>
      <c r="Y35" s="2" t="s">
        <v>5</v>
      </c>
      <c r="Z35" s="3" t="s">
        <v>9</v>
      </c>
      <c r="AA35" s="2" t="s">
        <v>6</v>
      </c>
      <c r="AB35" s="3" t="s">
        <v>9</v>
      </c>
      <c r="AC35" s="2" t="s">
        <v>7</v>
      </c>
      <c r="AD35" s="3" t="s">
        <v>9</v>
      </c>
      <c r="AE35" s="2" t="s">
        <v>8</v>
      </c>
      <c r="AF35" s="1" t="s">
        <v>3</v>
      </c>
      <c r="AG35" s="2" t="s">
        <v>4</v>
      </c>
      <c r="AH35" s="1" t="s">
        <v>3</v>
      </c>
      <c r="AI35" s="2" t="s">
        <v>5</v>
      </c>
      <c r="AJ35" s="1" t="s">
        <v>3</v>
      </c>
      <c r="AK35" s="2" t="s">
        <v>6</v>
      </c>
      <c r="AL35" s="1" t="s">
        <v>3</v>
      </c>
      <c r="AM35" s="2" t="s">
        <v>7</v>
      </c>
      <c r="AN35" s="1" t="s">
        <v>3</v>
      </c>
      <c r="AO35" s="2" t="s">
        <v>8</v>
      </c>
      <c r="AP35" s="1" t="s">
        <v>4</v>
      </c>
      <c r="AQ35" s="2" t="s">
        <v>5</v>
      </c>
      <c r="AR35" s="1" t="s">
        <v>4</v>
      </c>
      <c r="AS35" s="2" t="s">
        <v>6</v>
      </c>
      <c r="AT35" s="1" t="s">
        <v>4</v>
      </c>
      <c r="AU35" s="2" t="s">
        <v>7</v>
      </c>
      <c r="AV35" s="1" t="s">
        <v>4</v>
      </c>
      <c r="AW35" s="2" t="s">
        <v>8</v>
      </c>
      <c r="AX35" s="1" t="s">
        <v>5</v>
      </c>
      <c r="AY35" s="2" t="s">
        <v>6</v>
      </c>
      <c r="AZ35" s="1" t="s">
        <v>5</v>
      </c>
      <c r="BA35" s="2" t="s">
        <v>7</v>
      </c>
      <c r="BB35" s="1" t="s">
        <v>5</v>
      </c>
      <c r="BC35" s="2" t="s">
        <v>8</v>
      </c>
      <c r="BD35" s="1" t="s">
        <v>6</v>
      </c>
      <c r="BE35" s="2" t="s">
        <v>7</v>
      </c>
      <c r="BF35" s="1" t="s">
        <v>6</v>
      </c>
      <c r="BG35" s="2" t="s">
        <v>8</v>
      </c>
      <c r="BH35" s="1" t="s">
        <v>7</v>
      </c>
      <c r="BI35" s="2" t="s">
        <v>8</v>
      </c>
    </row>
    <row r="36" spans="1:61" x14ac:dyDescent="0.25">
      <c r="A36" s="9"/>
      <c r="B36" s="17">
        <v>0.90118000000000009</v>
      </c>
      <c r="D36" t="s">
        <v>12</v>
      </c>
      <c r="E36" t="s">
        <v>8</v>
      </c>
      <c r="F36" s="1">
        <v>0.74325000000000008</v>
      </c>
      <c r="G36" s="2">
        <v>0.53125999999999995</v>
      </c>
      <c r="H36" s="1">
        <v>0.74325000000000008</v>
      </c>
      <c r="I36" s="2">
        <v>0.30829000000000006</v>
      </c>
      <c r="J36" s="1">
        <v>0.74325000000000008</v>
      </c>
      <c r="K36" s="2">
        <v>4.6969999999999998E-2</v>
      </c>
      <c r="L36" s="1">
        <v>0.74325000000000008</v>
      </c>
      <c r="M36" s="2">
        <v>0.21537000000000001</v>
      </c>
      <c r="N36" s="1">
        <v>0.74325000000000008</v>
      </c>
      <c r="O36" s="2">
        <v>0.14848</v>
      </c>
      <c r="P36" s="1">
        <v>0.74325000000000008</v>
      </c>
      <c r="Q36" s="2">
        <v>0.43638000000000005</v>
      </c>
      <c r="R36" s="1">
        <v>0.74325000000000008</v>
      </c>
      <c r="S36" s="2">
        <v>0.99799000000000004</v>
      </c>
      <c r="T36" s="1">
        <v>0.53125999999999995</v>
      </c>
      <c r="U36" s="2">
        <v>0.30829000000000006</v>
      </c>
      <c r="V36" s="1">
        <v>0.53125999999999995</v>
      </c>
      <c r="W36" s="2">
        <v>4.6969999999999998E-2</v>
      </c>
      <c r="X36" s="1">
        <v>0.53125999999999995</v>
      </c>
      <c r="Y36" s="2">
        <v>0.21537000000000001</v>
      </c>
      <c r="Z36" s="1">
        <v>0.53125999999999995</v>
      </c>
      <c r="AA36" s="2">
        <v>0.14848</v>
      </c>
      <c r="AB36" s="1">
        <v>0.53125999999999995</v>
      </c>
      <c r="AC36" s="2">
        <v>0.43638000000000005</v>
      </c>
      <c r="AD36" s="1">
        <v>0.53125999999999995</v>
      </c>
      <c r="AE36" s="2">
        <v>0.99799000000000004</v>
      </c>
      <c r="AF36" s="1">
        <v>0.30829000000000006</v>
      </c>
      <c r="AG36" s="2">
        <v>4.6969999999999998E-2</v>
      </c>
      <c r="AH36" s="1">
        <v>0.30829000000000006</v>
      </c>
      <c r="AI36" s="2">
        <v>0.21537000000000001</v>
      </c>
      <c r="AJ36" s="1">
        <v>0.30829000000000006</v>
      </c>
      <c r="AK36" s="2">
        <v>0.14848</v>
      </c>
      <c r="AL36" s="1">
        <v>0.30829000000000006</v>
      </c>
      <c r="AM36" s="2">
        <v>0.43638000000000005</v>
      </c>
      <c r="AN36" s="1">
        <v>0.30829000000000006</v>
      </c>
      <c r="AO36" s="2">
        <v>0.99799000000000004</v>
      </c>
      <c r="AP36" s="1">
        <v>4.6969999999999998E-2</v>
      </c>
      <c r="AQ36" s="2">
        <v>0.21537000000000001</v>
      </c>
      <c r="AR36" s="1">
        <v>4.6969999999999998E-2</v>
      </c>
      <c r="AS36" s="2">
        <v>0.14848</v>
      </c>
      <c r="AT36" s="1">
        <v>4.6969999999999998E-2</v>
      </c>
      <c r="AU36" s="2">
        <v>0.43638000000000005</v>
      </c>
      <c r="AV36" s="1">
        <v>4.6969999999999998E-2</v>
      </c>
      <c r="AW36" s="2">
        <v>0.99799000000000004</v>
      </c>
      <c r="AX36" s="1">
        <v>0.21537000000000001</v>
      </c>
      <c r="AY36" s="2">
        <v>0.14848</v>
      </c>
      <c r="AZ36" s="1">
        <v>0.21537000000000001</v>
      </c>
      <c r="BA36" s="2">
        <v>0.43638000000000005</v>
      </c>
      <c r="BB36" s="1">
        <v>0.21537000000000001</v>
      </c>
      <c r="BC36" s="2">
        <v>0.99799000000000004</v>
      </c>
      <c r="BD36" s="1">
        <v>0.14848</v>
      </c>
      <c r="BE36" s="2">
        <v>0.43638000000000005</v>
      </c>
      <c r="BF36" s="1">
        <v>0.14848</v>
      </c>
      <c r="BG36" s="2">
        <v>0.99799000000000004</v>
      </c>
      <c r="BH36" s="1">
        <v>0.43638000000000005</v>
      </c>
      <c r="BI36" s="2">
        <v>0.99799000000000004</v>
      </c>
    </row>
    <row r="37" spans="1:61" x14ac:dyDescent="0.25">
      <c r="A37" s="10" t="s">
        <v>19</v>
      </c>
      <c r="B37" s="18">
        <v>2200</v>
      </c>
      <c r="D37" s="2"/>
      <c r="E37" s="2"/>
      <c r="F37" s="1"/>
      <c r="G37" s="2"/>
      <c r="H37" s="3"/>
      <c r="I37" s="2"/>
      <c r="J37" s="1"/>
      <c r="K37" s="4"/>
      <c r="L37" s="1"/>
      <c r="M37" s="2"/>
      <c r="N37" s="3"/>
      <c r="O37" s="2"/>
      <c r="P37" s="1"/>
      <c r="Q37" s="4"/>
      <c r="R37" s="1"/>
      <c r="S37" s="2"/>
      <c r="T37" s="3"/>
      <c r="U37" s="2"/>
      <c r="V37" s="1"/>
      <c r="W37" s="2"/>
      <c r="X37" s="1"/>
      <c r="Y37" s="2"/>
      <c r="Z37" s="1"/>
      <c r="AA37" s="2"/>
      <c r="AB37" s="1"/>
      <c r="AC37" s="2"/>
      <c r="AD37" s="1"/>
      <c r="AE37" s="2"/>
      <c r="AF37" s="1"/>
      <c r="AG37" s="2"/>
      <c r="AH37" s="1"/>
      <c r="AI37" s="2"/>
      <c r="AJ37" s="1"/>
      <c r="AK37" s="2"/>
      <c r="AL37" s="1"/>
      <c r="AM37" s="2"/>
      <c r="AN37" s="1"/>
      <c r="AO37" s="2"/>
      <c r="AP37" s="1"/>
      <c r="AQ37" s="2"/>
      <c r="AR37" s="1"/>
      <c r="AS37" s="2"/>
      <c r="AT37" s="1"/>
      <c r="AU37" s="2"/>
      <c r="AV37" s="1"/>
      <c r="AW37" s="2"/>
      <c r="AX37" s="1"/>
      <c r="AY37" s="2"/>
      <c r="AZ37" s="1"/>
      <c r="BA37" s="2"/>
      <c r="BB37" s="1"/>
      <c r="BC37" s="2"/>
      <c r="BD37" s="1"/>
      <c r="BE37" s="2"/>
      <c r="BF37" s="1"/>
      <c r="BG37" s="2"/>
      <c r="BH37" s="1"/>
      <c r="BI37" s="2"/>
    </row>
    <row r="38" spans="1:61" x14ac:dyDescent="0.25">
      <c r="A38" s="12" t="s">
        <v>1</v>
      </c>
      <c r="B38">
        <v>0.55554999999999999</v>
      </c>
      <c r="D38" s="2"/>
      <c r="E38" s="2"/>
      <c r="F38" s="1"/>
      <c r="G38" s="2"/>
      <c r="H38" s="3"/>
      <c r="I38" s="2"/>
      <c r="J38" s="1"/>
      <c r="K38" s="4"/>
      <c r="L38" s="1"/>
      <c r="M38" s="2"/>
      <c r="N38" s="3"/>
      <c r="O38" s="2"/>
      <c r="P38" s="1"/>
      <c r="Q38" s="4"/>
      <c r="R38" s="1"/>
      <c r="S38" s="2"/>
      <c r="T38" s="3"/>
      <c r="U38" s="2"/>
      <c r="V38" s="1"/>
      <c r="W38" s="2"/>
      <c r="X38" s="1"/>
      <c r="Y38" s="2"/>
      <c r="Z38" s="1"/>
      <c r="AA38" s="2"/>
      <c r="AB38" s="1"/>
      <c r="AC38" s="2"/>
      <c r="AD38" s="1"/>
      <c r="AE38" s="2"/>
      <c r="AF38" s="1"/>
      <c r="AG38" s="2"/>
      <c r="AH38" s="1"/>
      <c r="AI38" s="2"/>
      <c r="AJ38" s="1"/>
      <c r="AK38" s="2"/>
      <c r="AL38" s="1"/>
      <c r="AM38" s="2"/>
      <c r="AN38" s="1"/>
      <c r="AO38" s="2"/>
      <c r="AP38" s="1"/>
      <c r="AQ38" s="2"/>
      <c r="AR38" s="1"/>
      <c r="AS38" s="2"/>
      <c r="AT38" s="1"/>
      <c r="AU38" s="2"/>
      <c r="AV38" s="1"/>
      <c r="AW38" s="2"/>
      <c r="AX38" s="1"/>
      <c r="AY38" s="2"/>
      <c r="AZ38" s="1"/>
      <c r="BA38" s="2"/>
      <c r="BB38" s="1"/>
      <c r="BC38" s="2"/>
      <c r="BD38" s="1"/>
      <c r="BE38" s="2"/>
      <c r="BF38" s="1"/>
      <c r="BG38" s="2"/>
      <c r="BH38" s="1"/>
      <c r="BI38" s="2"/>
    </row>
    <row r="39" spans="1:61" x14ac:dyDescent="0.25">
      <c r="A39" s="12" t="s">
        <v>2</v>
      </c>
      <c r="B39">
        <v>0.59975999999999996</v>
      </c>
      <c r="D39" s="100" t="s">
        <v>14</v>
      </c>
      <c r="E39" s="100"/>
      <c r="F39" s="1">
        <v>1</v>
      </c>
      <c r="G39" s="2"/>
      <c r="H39" s="1">
        <v>2</v>
      </c>
      <c r="I39" s="2"/>
      <c r="J39" s="1">
        <v>3</v>
      </c>
      <c r="K39" s="2"/>
      <c r="L39" s="1">
        <v>4</v>
      </c>
      <c r="M39" s="2"/>
      <c r="N39" s="1">
        <v>5</v>
      </c>
      <c r="O39" s="2"/>
      <c r="P39" s="1">
        <v>6</v>
      </c>
      <c r="Q39" s="2"/>
      <c r="R39" s="1">
        <v>7</v>
      </c>
      <c r="S39" s="2"/>
      <c r="T39" s="1">
        <v>1</v>
      </c>
      <c r="U39" s="2"/>
      <c r="V39" s="1">
        <v>2</v>
      </c>
      <c r="W39" s="2"/>
      <c r="X39" s="1">
        <v>3</v>
      </c>
      <c r="Y39" s="2"/>
      <c r="Z39" s="1">
        <v>4</v>
      </c>
      <c r="AA39" s="2"/>
      <c r="AB39" s="1">
        <v>5</v>
      </c>
      <c r="AC39" s="2"/>
      <c r="AD39" s="1">
        <v>6</v>
      </c>
      <c r="AE39" s="2"/>
      <c r="AF39" s="1">
        <v>1</v>
      </c>
      <c r="AG39" s="2"/>
      <c r="AH39" s="1">
        <v>2</v>
      </c>
      <c r="AI39" s="2"/>
      <c r="AJ39" s="1">
        <v>3</v>
      </c>
      <c r="AK39" s="2"/>
      <c r="AL39" s="1">
        <v>4</v>
      </c>
      <c r="AM39" s="2"/>
      <c r="AN39" s="1">
        <v>5</v>
      </c>
      <c r="AO39" s="2"/>
      <c r="AP39" s="1">
        <v>1</v>
      </c>
      <c r="AQ39" s="2"/>
      <c r="AR39" s="1">
        <v>2</v>
      </c>
      <c r="AS39" s="2"/>
      <c r="AT39" s="1">
        <v>3</v>
      </c>
      <c r="AU39" s="2"/>
      <c r="AV39" s="1">
        <v>4</v>
      </c>
      <c r="AW39" s="2"/>
      <c r="AX39" s="1">
        <v>1</v>
      </c>
      <c r="AY39" s="2"/>
      <c r="AZ39" s="1">
        <v>2</v>
      </c>
      <c r="BA39" s="2"/>
      <c r="BB39" s="1">
        <v>3</v>
      </c>
      <c r="BC39" s="2"/>
      <c r="BD39" s="1">
        <v>1</v>
      </c>
      <c r="BE39" s="2"/>
      <c r="BF39" s="1">
        <v>2</v>
      </c>
      <c r="BG39" s="2"/>
      <c r="BH39" s="1">
        <v>1</v>
      </c>
      <c r="BI39" s="2"/>
    </row>
    <row r="40" spans="1:61" x14ac:dyDescent="0.25">
      <c r="A40" s="12" t="s">
        <v>3</v>
      </c>
      <c r="B40">
        <v>0.64885000000000004</v>
      </c>
      <c r="D40" s="100"/>
      <c r="E40" s="100"/>
      <c r="F40" s="1" t="s">
        <v>1</v>
      </c>
      <c r="G40" s="2" t="s">
        <v>2</v>
      </c>
      <c r="H40" s="1" t="s">
        <v>1</v>
      </c>
      <c r="I40" s="2" t="s">
        <v>3</v>
      </c>
      <c r="J40" s="1" t="s">
        <v>1</v>
      </c>
      <c r="K40" s="2" t="s">
        <v>4</v>
      </c>
      <c r="L40" s="1" t="s">
        <v>1</v>
      </c>
      <c r="M40" s="2" t="s">
        <v>5</v>
      </c>
      <c r="N40" s="1" t="s">
        <v>1</v>
      </c>
      <c r="O40" s="2" t="s">
        <v>6</v>
      </c>
      <c r="P40" s="1" t="s">
        <v>1</v>
      </c>
      <c r="Q40" s="2" t="s">
        <v>7</v>
      </c>
      <c r="R40" s="1" t="s">
        <v>1</v>
      </c>
      <c r="S40" s="2" t="s">
        <v>8</v>
      </c>
      <c r="T40" s="3" t="s">
        <v>2</v>
      </c>
      <c r="U40" s="4" t="s">
        <v>3</v>
      </c>
      <c r="V40" s="3" t="s">
        <v>2</v>
      </c>
      <c r="W40" s="2" t="s">
        <v>4</v>
      </c>
      <c r="X40" s="3" t="s">
        <v>2</v>
      </c>
      <c r="Y40" s="2" t="s">
        <v>5</v>
      </c>
      <c r="Z40" s="3" t="s">
        <v>2</v>
      </c>
      <c r="AA40" s="2" t="s">
        <v>6</v>
      </c>
      <c r="AB40" s="3" t="s">
        <v>2</v>
      </c>
      <c r="AC40" s="2" t="s">
        <v>7</v>
      </c>
      <c r="AD40" s="3" t="s">
        <v>2</v>
      </c>
      <c r="AE40" s="2" t="s">
        <v>8</v>
      </c>
      <c r="AF40" s="3" t="s">
        <v>3</v>
      </c>
      <c r="AG40" s="2" t="s">
        <v>4</v>
      </c>
      <c r="AH40" s="3" t="s">
        <v>3</v>
      </c>
      <c r="AI40" s="2" t="s">
        <v>5</v>
      </c>
      <c r="AJ40" s="3" t="s">
        <v>3</v>
      </c>
      <c r="AK40" s="2" t="s">
        <v>6</v>
      </c>
      <c r="AL40" s="3" t="s">
        <v>3</v>
      </c>
      <c r="AM40" s="2" t="s">
        <v>7</v>
      </c>
      <c r="AN40" s="3" t="s">
        <v>3</v>
      </c>
      <c r="AO40" s="2" t="s">
        <v>8</v>
      </c>
      <c r="AP40" s="3" t="s">
        <v>4</v>
      </c>
      <c r="AQ40" s="2" t="s">
        <v>5</v>
      </c>
      <c r="AR40" s="3" t="s">
        <v>4</v>
      </c>
      <c r="AS40" s="2" t="s">
        <v>6</v>
      </c>
      <c r="AT40" s="3" t="s">
        <v>4</v>
      </c>
      <c r="AU40" s="2" t="s">
        <v>7</v>
      </c>
      <c r="AV40" s="3" t="s">
        <v>4</v>
      </c>
      <c r="AW40" s="2" t="s">
        <v>8</v>
      </c>
      <c r="AX40" s="3" t="s">
        <v>5</v>
      </c>
      <c r="AY40" s="2" t="s">
        <v>6</v>
      </c>
      <c r="AZ40" s="3" t="s">
        <v>5</v>
      </c>
      <c r="BA40" s="2" t="s">
        <v>7</v>
      </c>
      <c r="BB40" s="3" t="s">
        <v>5</v>
      </c>
      <c r="BC40" s="2" t="s">
        <v>8</v>
      </c>
      <c r="BD40" s="3" t="s">
        <v>6</v>
      </c>
      <c r="BE40" s="2" t="s">
        <v>7</v>
      </c>
      <c r="BF40" s="3" t="s">
        <v>6</v>
      </c>
      <c r="BG40" s="2" t="s">
        <v>8</v>
      </c>
      <c r="BH40" s="3" t="s">
        <v>7</v>
      </c>
      <c r="BI40" s="2" t="s">
        <v>8</v>
      </c>
    </row>
    <row r="41" spans="1:61" x14ac:dyDescent="0.25">
      <c r="A41" s="11" t="s">
        <v>10</v>
      </c>
      <c r="B41">
        <v>0.90118000000000009</v>
      </c>
      <c r="D41" t="s">
        <v>12</v>
      </c>
      <c r="E41" t="s">
        <v>1</v>
      </c>
      <c r="F41" s="1">
        <v>0.96507000000000009</v>
      </c>
      <c r="G41">
        <v>0.80279000000000011</v>
      </c>
      <c r="H41" s="1">
        <v>0.96507000000000009</v>
      </c>
      <c r="I41">
        <v>0.30996999999999997</v>
      </c>
      <c r="J41" s="1">
        <v>0.96507000000000009</v>
      </c>
      <c r="K41">
        <v>0.25451999999999997</v>
      </c>
      <c r="L41" s="1">
        <v>0.96507000000000009</v>
      </c>
      <c r="M41">
        <v>0.57388000000000006</v>
      </c>
      <c r="N41" s="1">
        <v>0.96507000000000009</v>
      </c>
      <c r="O41">
        <v>0.4941799999999999</v>
      </c>
      <c r="P41" s="1">
        <v>0.96507000000000009</v>
      </c>
      <c r="Q41">
        <v>0.73319000000000001</v>
      </c>
      <c r="R41" s="1">
        <v>0.96507000000000009</v>
      </c>
      <c r="S41">
        <v>0.73800999999999994</v>
      </c>
      <c r="T41" s="1">
        <v>0.80279000000000011</v>
      </c>
      <c r="U41" s="2">
        <v>0.30996999999999997</v>
      </c>
      <c r="V41" s="1">
        <v>0.80279000000000011</v>
      </c>
      <c r="W41">
        <v>0.25451999999999997</v>
      </c>
      <c r="X41" s="1">
        <v>0.80279000000000011</v>
      </c>
      <c r="Y41">
        <v>0.57388000000000006</v>
      </c>
      <c r="Z41" s="1">
        <v>0.80279000000000011</v>
      </c>
      <c r="AA41">
        <v>0.4941799999999999</v>
      </c>
      <c r="AB41" s="1">
        <v>0.80279000000000011</v>
      </c>
      <c r="AC41">
        <v>0.73319000000000001</v>
      </c>
      <c r="AD41" s="1">
        <v>0.80279000000000011</v>
      </c>
      <c r="AE41">
        <v>0.73800999999999994</v>
      </c>
      <c r="AF41" s="1">
        <v>0.30996999999999997</v>
      </c>
      <c r="AG41">
        <v>0.25451999999999997</v>
      </c>
      <c r="AH41" s="1">
        <v>0.30996999999999997</v>
      </c>
      <c r="AI41">
        <v>0.57388000000000006</v>
      </c>
      <c r="AJ41" s="1">
        <v>0.30996999999999997</v>
      </c>
      <c r="AK41">
        <v>0.4941799999999999</v>
      </c>
      <c r="AL41" s="1">
        <v>0.30996999999999997</v>
      </c>
      <c r="AM41">
        <v>0.73319000000000001</v>
      </c>
      <c r="AN41" s="1">
        <v>0.30996999999999997</v>
      </c>
      <c r="AO41">
        <v>0.73800999999999994</v>
      </c>
      <c r="AP41" s="1">
        <v>0.25451999999999997</v>
      </c>
      <c r="AQ41">
        <v>0.57388000000000006</v>
      </c>
      <c r="AR41" s="1">
        <v>0.25451999999999997</v>
      </c>
      <c r="AS41">
        <v>0.4941799999999999</v>
      </c>
      <c r="AT41" s="1">
        <v>0.25451999999999997</v>
      </c>
      <c r="AU41">
        <v>0.73319000000000001</v>
      </c>
      <c r="AV41" s="1">
        <v>0.25451999999999997</v>
      </c>
      <c r="AW41">
        <v>0.73800999999999994</v>
      </c>
      <c r="AX41" s="1">
        <v>0.57388000000000006</v>
      </c>
      <c r="AY41">
        <v>0.4941799999999999</v>
      </c>
      <c r="AZ41" s="1">
        <v>0.57388000000000006</v>
      </c>
      <c r="BA41">
        <v>0.73319000000000001</v>
      </c>
      <c r="BB41" s="1">
        <v>0.57388000000000006</v>
      </c>
      <c r="BC41">
        <v>0.73800999999999994</v>
      </c>
      <c r="BD41" s="1">
        <v>0.4941799999999999</v>
      </c>
      <c r="BE41">
        <v>0.73319000000000001</v>
      </c>
      <c r="BF41" s="1">
        <v>0.4941799999999999</v>
      </c>
      <c r="BG41">
        <v>0.73800999999999994</v>
      </c>
      <c r="BH41" s="1">
        <v>0.73319000000000001</v>
      </c>
      <c r="BI41">
        <v>0.73800999999999994</v>
      </c>
    </row>
    <row r="42" spans="1:61" x14ac:dyDescent="0.25">
      <c r="A42" s="13" t="s">
        <v>11</v>
      </c>
      <c r="B42">
        <v>0.83703000000000005</v>
      </c>
      <c r="E42" s="6"/>
      <c r="F42" s="1" t="s">
        <v>1</v>
      </c>
      <c r="G42" s="2" t="s">
        <v>2</v>
      </c>
      <c r="H42" s="1" t="s">
        <v>1</v>
      </c>
      <c r="I42" s="2" t="s">
        <v>3</v>
      </c>
      <c r="J42" s="1" t="s">
        <v>1</v>
      </c>
      <c r="K42" s="2" t="s">
        <v>4</v>
      </c>
      <c r="L42" s="1" t="s">
        <v>1</v>
      </c>
      <c r="M42" s="2" t="s">
        <v>5</v>
      </c>
      <c r="N42" s="1" t="s">
        <v>1</v>
      </c>
      <c r="O42" s="2" t="s">
        <v>6</v>
      </c>
      <c r="P42" s="1" t="s">
        <v>1</v>
      </c>
      <c r="Q42" s="2" t="s">
        <v>7</v>
      </c>
      <c r="R42" s="1" t="s">
        <v>1</v>
      </c>
      <c r="S42" s="2" t="s">
        <v>8</v>
      </c>
      <c r="T42" s="3" t="s">
        <v>2</v>
      </c>
      <c r="U42" s="4" t="s">
        <v>3</v>
      </c>
      <c r="V42" s="3" t="s">
        <v>2</v>
      </c>
      <c r="W42" s="2" t="s">
        <v>4</v>
      </c>
      <c r="X42" s="3" t="s">
        <v>2</v>
      </c>
      <c r="Y42" s="2" t="s">
        <v>5</v>
      </c>
      <c r="Z42" s="3" t="s">
        <v>2</v>
      </c>
      <c r="AA42" s="2" t="s">
        <v>6</v>
      </c>
      <c r="AB42" s="3" t="s">
        <v>2</v>
      </c>
      <c r="AC42" s="2" t="s">
        <v>7</v>
      </c>
      <c r="AD42" s="3" t="s">
        <v>2</v>
      </c>
      <c r="AE42" s="2" t="s">
        <v>8</v>
      </c>
      <c r="AF42" s="3" t="s">
        <v>3</v>
      </c>
      <c r="AG42" s="2" t="s">
        <v>4</v>
      </c>
      <c r="AH42" s="3" t="s">
        <v>3</v>
      </c>
      <c r="AI42" s="2" t="s">
        <v>5</v>
      </c>
      <c r="AJ42" s="3" t="s">
        <v>3</v>
      </c>
      <c r="AK42" s="2" t="s">
        <v>6</v>
      </c>
      <c r="AL42" s="3" t="s">
        <v>3</v>
      </c>
      <c r="AM42" s="2" t="s">
        <v>7</v>
      </c>
      <c r="AN42" s="3" t="s">
        <v>3</v>
      </c>
      <c r="AO42" s="2" t="s">
        <v>8</v>
      </c>
      <c r="AP42" s="3" t="s">
        <v>4</v>
      </c>
      <c r="AQ42" s="2" t="s">
        <v>5</v>
      </c>
      <c r="AR42" s="3" t="s">
        <v>4</v>
      </c>
      <c r="AS42" s="2" t="s">
        <v>6</v>
      </c>
      <c r="AT42" s="3" t="s">
        <v>4</v>
      </c>
      <c r="AU42" s="2" t="s">
        <v>7</v>
      </c>
      <c r="AV42" s="3" t="s">
        <v>4</v>
      </c>
      <c r="AW42" s="2" t="s">
        <v>8</v>
      </c>
      <c r="AX42" s="3" t="s">
        <v>5</v>
      </c>
      <c r="AY42" s="2" t="s">
        <v>6</v>
      </c>
      <c r="AZ42" s="3" t="s">
        <v>5</v>
      </c>
      <c r="BA42" s="2" t="s">
        <v>7</v>
      </c>
      <c r="BB42" s="3" t="s">
        <v>5</v>
      </c>
      <c r="BC42" s="2" t="s">
        <v>8</v>
      </c>
      <c r="BD42" s="3" t="s">
        <v>6</v>
      </c>
      <c r="BE42" s="2" t="s">
        <v>7</v>
      </c>
      <c r="BF42" s="3" t="s">
        <v>6</v>
      </c>
      <c r="BG42" s="2" t="s">
        <v>8</v>
      </c>
      <c r="BH42" s="3" t="s">
        <v>7</v>
      </c>
      <c r="BI42" s="2" t="s">
        <v>8</v>
      </c>
    </row>
    <row r="43" spans="1:61" x14ac:dyDescent="0.25">
      <c r="A43" s="13" t="s">
        <v>6</v>
      </c>
      <c r="B43">
        <v>0.88704000000000005</v>
      </c>
      <c r="D43" t="s">
        <v>12</v>
      </c>
      <c r="E43" t="s">
        <v>2</v>
      </c>
      <c r="F43" s="1">
        <v>0.78731999999999991</v>
      </c>
      <c r="G43">
        <v>0.98873</v>
      </c>
      <c r="H43" s="1">
        <v>0.78731999999999991</v>
      </c>
      <c r="I43">
        <v>0.55768000000000006</v>
      </c>
      <c r="J43" s="1">
        <v>0.78731999999999991</v>
      </c>
      <c r="K43">
        <v>0.52413999999999994</v>
      </c>
      <c r="L43" s="1">
        <v>0.78731999999999991</v>
      </c>
      <c r="M43">
        <v>0.64327000000000001</v>
      </c>
      <c r="N43" s="1">
        <v>0.78731999999999991</v>
      </c>
      <c r="O43">
        <v>0.39659999999999995</v>
      </c>
      <c r="P43" s="1">
        <v>0.78731999999999991</v>
      </c>
      <c r="Q43">
        <v>0.72836000000000001</v>
      </c>
      <c r="R43" s="1">
        <v>0.78731999999999991</v>
      </c>
      <c r="S43">
        <v>0.51632000000000011</v>
      </c>
      <c r="T43" s="3">
        <v>0.98873</v>
      </c>
      <c r="U43" s="2">
        <v>0.55768000000000006</v>
      </c>
      <c r="V43" s="3">
        <v>0.98873</v>
      </c>
      <c r="W43">
        <v>0.52413999999999994</v>
      </c>
      <c r="X43" s="3">
        <v>0.98873</v>
      </c>
      <c r="Y43">
        <v>0.64327000000000001</v>
      </c>
      <c r="Z43" s="3">
        <v>0.98873</v>
      </c>
      <c r="AA43">
        <v>0.39659999999999995</v>
      </c>
      <c r="AB43" s="3">
        <v>0.98873</v>
      </c>
      <c r="AC43">
        <v>0.72836000000000001</v>
      </c>
      <c r="AD43" s="3">
        <v>0.98873</v>
      </c>
      <c r="AE43">
        <v>0.51632000000000011</v>
      </c>
      <c r="AF43" s="1">
        <v>0.55768000000000006</v>
      </c>
      <c r="AG43">
        <v>0.52413999999999994</v>
      </c>
      <c r="AH43" s="1">
        <v>0.55768000000000006</v>
      </c>
      <c r="AI43">
        <v>0.64327000000000001</v>
      </c>
      <c r="AJ43" s="1">
        <v>0.55768000000000006</v>
      </c>
      <c r="AK43">
        <v>0.39659999999999995</v>
      </c>
      <c r="AL43" s="1">
        <v>0.55768000000000006</v>
      </c>
      <c r="AM43">
        <v>0.72836000000000001</v>
      </c>
      <c r="AN43" s="1">
        <v>0.55768000000000006</v>
      </c>
      <c r="AO43">
        <v>0.51632000000000011</v>
      </c>
      <c r="AP43" s="1">
        <v>0.52413999999999994</v>
      </c>
      <c r="AQ43">
        <v>0.64327000000000001</v>
      </c>
      <c r="AR43" s="1">
        <v>0.52413999999999994</v>
      </c>
      <c r="AS43">
        <v>0.39659999999999995</v>
      </c>
      <c r="AT43" s="1">
        <v>0.52413999999999994</v>
      </c>
      <c r="AU43">
        <v>0.72836000000000001</v>
      </c>
      <c r="AV43" s="1">
        <v>0.52413999999999994</v>
      </c>
      <c r="AW43">
        <v>0.51632000000000011</v>
      </c>
      <c r="AX43" s="1">
        <v>0.64327000000000001</v>
      </c>
      <c r="AY43">
        <v>0.39659999999999995</v>
      </c>
      <c r="AZ43" s="1">
        <v>0.64327000000000001</v>
      </c>
      <c r="BA43">
        <v>0.72836000000000001</v>
      </c>
      <c r="BB43" s="1">
        <v>0.64327000000000001</v>
      </c>
      <c r="BC43">
        <v>0.51632000000000011</v>
      </c>
      <c r="BD43" s="1">
        <v>0.39659999999999995</v>
      </c>
      <c r="BE43">
        <v>0.72836000000000001</v>
      </c>
      <c r="BF43" s="1">
        <v>0.39659999999999995</v>
      </c>
      <c r="BG43">
        <v>0.51632000000000011</v>
      </c>
      <c r="BH43" s="1">
        <v>0.72836000000000001</v>
      </c>
      <c r="BI43">
        <v>0.51632000000000011</v>
      </c>
    </row>
    <row r="44" spans="1:61" x14ac:dyDescent="0.25">
      <c r="A44" s="12" t="s">
        <v>7</v>
      </c>
      <c r="B44">
        <v>0.71393000000000006</v>
      </c>
      <c r="E44" s="6"/>
      <c r="F44" s="1" t="s">
        <v>1</v>
      </c>
      <c r="G44" s="2" t="s">
        <v>2</v>
      </c>
      <c r="H44" s="1" t="s">
        <v>1</v>
      </c>
      <c r="I44" s="2" t="s">
        <v>3</v>
      </c>
      <c r="J44" s="1" t="s">
        <v>1</v>
      </c>
      <c r="K44" s="2" t="s">
        <v>4</v>
      </c>
      <c r="L44" s="1" t="s">
        <v>1</v>
      </c>
      <c r="M44" s="2" t="s">
        <v>5</v>
      </c>
      <c r="N44" s="1" t="s">
        <v>1</v>
      </c>
      <c r="O44" s="2" t="s">
        <v>6</v>
      </c>
      <c r="P44" s="1" t="s">
        <v>1</v>
      </c>
      <c r="Q44" s="2" t="s">
        <v>7</v>
      </c>
      <c r="R44" s="1" t="s">
        <v>1</v>
      </c>
      <c r="S44" s="2" t="s">
        <v>8</v>
      </c>
      <c r="T44" s="3" t="s">
        <v>2</v>
      </c>
      <c r="U44" s="4" t="s">
        <v>3</v>
      </c>
      <c r="V44" s="3" t="s">
        <v>2</v>
      </c>
      <c r="W44" s="2" t="s">
        <v>4</v>
      </c>
      <c r="X44" s="3" t="s">
        <v>2</v>
      </c>
      <c r="Y44" s="2" t="s">
        <v>5</v>
      </c>
      <c r="Z44" s="3" t="s">
        <v>2</v>
      </c>
      <c r="AA44" s="2" t="s">
        <v>6</v>
      </c>
      <c r="AB44" s="3" t="s">
        <v>2</v>
      </c>
      <c r="AC44" s="2" t="s">
        <v>7</v>
      </c>
      <c r="AD44" s="3" t="s">
        <v>2</v>
      </c>
      <c r="AE44" s="2" t="s">
        <v>8</v>
      </c>
      <c r="AF44" s="3" t="s">
        <v>3</v>
      </c>
      <c r="AG44" s="2" t="s">
        <v>4</v>
      </c>
      <c r="AH44" s="3" t="s">
        <v>3</v>
      </c>
      <c r="AI44" s="2" t="s">
        <v>5</v>
      </c>
      <c r="AJ44" s="3" t="s">
        <v>3</v>
      </c>
      <c r="AK44" s="2" t="s">
        <v>6</v>
      </c>
      <c r="AL44" s="3" t="s">
        <v>3</v>
      </c>
      <c r="AM44" s="2" t="s">
        <v>7</v>
      </c>
      <c r="AN44" s="3" t="s">
        <v>3</v>
      </c>
      <c r="AO44" s="2" t="s">
        <v>8</v>
      </c>
      <c r="AP44" s="3" t="s">
        <v>4</v>
      </c>
      <c r="AQ44" s="2" t="s">
        <v>5</v>
      </c>
      <c r="AR44" s="3" t="s">
        <v>4</v>
      </c>
      <c r="AS44" s="2" t="s">
        <v>6</v>
      </c>
      <c r="AT44" s="3" t="s">
        <v>4</v>
      </c>
      <c r="AU44" s="2" t="s">
        <v>7</v>
      </c>
      <c r="AV44" s="3" t="s">
        <v>4</v>
      </c>
      <c r="AW44" s="2" t="s">
        <v>8</v>
      </c>
      <c r="AX44" s="3" t="s">
        <v>5</v>
      </c>
      <c r="AY44" s="2" t="s">
        <v>6</v>
      </c>
      <c r="AZ44" s="3" t="s">
        <v>5</v>
      </c>
      <c r="BA44" s="2" t="s">
        <v>7</v>
      </c>
      <c r="BB44" s="3" t="s">
        <v>5</v>
      </c>
      <c r="BC44" s="2" t="s">
        <v>8</v>
      </c>
      <c r="BD44" s="3" t="s">
        <v>6</v>
      </c>
      <c r="BE44" s="2" t="s">
        <v>7</v>
      </c>
      <c r="BF44" s="3" t="s">
        <v>6</v>
      </c>
      <c r="BG44" s="2" t="s">
        <v>8</v>
      </c>
      <c r="BH44" s="3" t="s">
        <v>7</v>
      </c>
      <c r="BI44" s="2" t="s">
        <v>8</v>
      </c>
    </row>
    <row r="45" spans="1:61" x14ac:dyDescent="0.25">
      <c r="A45" s="12" t="s">
        <v>8</v>
      </c>
      <c r="B45">
        <v>0.13020000000000004</v>
      </c>
      <c r="D45" t="s">
        <v>12</v>
      </c>
      <c r="E45" t="s">
        <v>3</v>
      </c>
      <c r="F45" s="1">
        <v>0.52797000000000005</v>
      </c>
      <c r="G45">
        <v>0.69342999999999999</v>
      </c>
      <c r="H45" s="1">
        <v>0.52797000000000005</v>
      </c>
      <c r="I45">
        <v>0.94001000000000001</v>
      </c>
      <c r="J45" s="1">
        <v>0.52797000000000005</v>
      </c>
      <c r="K45">
        <v>0.64459999999999984</v>
      </c>
      <c r="L45" s="1">
        <v>0.52797000000000005</v>
      </c>
      <c r="M45">
        <v>0.6039199999999999</v>
      </c>
      <c r="N45" s="1">
        <v>0.52797000000000005</v>
      </c>
      <c r="O45">
        <v>0.50459999999999994</v>
      </c>
      <c r="P45" s="1">
        <v>0.52797000000000005</v>
      </c>
      <c r="Q45">
        <v>0.51462999999999981</v>
      </c>
      <c r="R45" s="1">
        <v>0.52797000000000005</v>
      </c>
      <c r="S45">
        <v>0.23010000000000003</v>
      </c>
      <c r="T45" s="3">
        <v>0.69342999999999999</v>
      </c>
      <c r="U45" s="2">
        <v>0.94001000000000001</v>
      </c>
      <c r="V45" s="3">
        <v>0.69342999999999999</v>
      </c>
      <c r="W45">
        <v>0.64459999999999984</v>
      </c>
      <c r="X45" s="3">
        <v>0.69342999999999999</v>
      </c>
      <c r="Y45">
        <v>0.6039199999999999</v>
      </c>
      <c r="Z45" s="3">
        <v>0.69342999999999999</v>
      </c>
      <c r="AA45">
        <v>0.50459999999999994</v>
      </c>
      <c r="AB45" s="3">
        <v>0.69342999999999999</v>
      </c>
      <c r="AC45">
        <v>0.51462999999999981</v>
      </c>
      <c r="AD45" s="3">
        <v>0.69342999999999999</v>
      </c>
      <c r="AE45">
        <v>0.23010000000000003</v>
      </c>
      <c r="AF45" s="1">
        <v>0.94001000000000001</v>
      </c>
      <c r="AG45">
        <v>0.64459999999999984</v>
      </c>
      <c r="AH45" s="1">
        <v>0.94001000000000001</v>
      </c>
      <c r="AI45">
        <v>0.6039199999999999</v>
      </c>
      <c r="AJ45" s="1">
        <v>0.94001000000000001</v>
      </c>
      <c r="AK45">
        <v>0.50459999999999994</v>
      </c>
      <c r="AL45" s="1">
        <v>0.94001000000000001</v>
      </c>
      <c r="AM45">
        <v>0.51462999999999981</v>
      </c>
      <c r="AN45" s="1">
        <v>0.94001000000000001</v>
      </c>
      <c r="AO45">
        <v>0.23010000000000003</v>
      </c>
      <c r="AP45" s="1">
        <v>0.64459999999999984</v>
      </c>
      <c r="AQ45">
        <v>0.6039199999999999</v>
      </c>
      <c r="AR45" s="1">
        <v>0.64459999999999984</v>
      </c>
      <c r="AS45">
        <v>0.50459999999999994</v>
      </c>
      <c r="AT45" s="1">
        <v>0.64459999999999984</v>
      </c>
      <c r="AU45">
        <v>0.51462999999999981</v>
      </c>
      <c r="AV45" s="1">
        <v>0.64459999999999984</v>
      </c>
      <c r="AW45">
        <v>0.23010000000000003</v>
      </c>
      <c r="AX45" s="1">
        <v>0.6039199999999999</v>
      </c>
      <c r="AY45">
        <v>0.50459999999999994</v>
      </c>
      <c r="AZ45" s="1">
        <v>0.6039199999999999</v>
      </c>
      <c r="BA45">
        <v>0.51462999999999981</v>
      </c>
      <c r="BB45" s="1">
        <v>0.6039199999999999</v>
      </c>
      <c r="BC45">
        <v>0.23010000000000003</v>
      </c>
      <c r="BD45" s="1">
        <v>0.50459999999999994</v>
      </c>
      <c r="BE45">
        <v>0.51462999999999981</v>
      </c>
      <c r="BF45" s="1">
        <v>0.50459999999999994</v>
      </c>
      <c r="BG45">
        <v>0.23010000000000003</v>
      </c>
      <c r="BH45" s="1">
        <v>0.51462999999999981</v>
      </c>
      <c r="BI45">
        <v>0.23010000000000003</v>
      </c>
    </row>
    <row r="46" spans="1:61" x14ac:dyDescent="0.25">
      <c r="A46" s="8">
        <v>60</v>
      </c>
      <c r="B46" s="17">
        <v>1</v>
      </c>
      <c r="E46" s="6"/>
      <c r="F46" s="1" t="s">
        <v>1</v>
      </c>
      <c r="G46" s="2" t="s">
        <v>2</v>
      </c>
      <c r="H46" s="1" t="s">
        <v>1</v>
      </c>
      <c r="I46" s="2" t="s">
        <v>3</v>
      </c>
      <c r="J46" s="1" t="s">
        <v>1</v>
      </c>
      <c r="K46" s="2" t="s">
        <v>4</v>
      </c>
      <c r="L46" s="1" t="s">
        <v>1</v>
      </c>
      <c r="M46" s="2" t="s">
        <v>5</v>
      </c>
      <c r="N46" s="1" t="s">
        <v>1</v>
      </c>
      <c r="O46" s="2" t="s">
        <v>6</v>
      </c>
      <c r="P46" s="1" t="s">
        <v>1</v>
      </c>
      <c r="Q46" s="2" t="s">
        <v>7</v>
      </c>
      <c r="R46" s="1" t="s">
        <v>1</v>
      </c>
      <c r="S46" s="2" t="s">
        <v>8</v>
      </c>
      <c r="T46" s="3" t="s">
        <v>2</v>
      </c>
      <c r="U46" s="4" t="s">
        <v>3</v>
      </c>
      <c r="V46" s="3" t="s">
        <v>2</v>
      </c>
      <c r="W46" s="2" t="s">
        <v>4</v>
      </c>
      <c r="X46" s="3" t="s">
        <v>2</v>
      </c>
      <c r="Y46" s="2" t="s">
        <v>5</v>
      </c>
      <c r="Z46" s="3" t="s">
        <v>2</v>
      </c>
      <c r="AA46" s="2" t="s">
        <v>6</v>
      </c>
      <c r="AB46" s="3" t="s">
        <v>2</v>
      </c>
      <c r="AC46" s="2" t="s">
        <v>7</v>
      </c>
      <c r="AD46" s="3" t="s">
        <v>2</v>
      </c>
      <c r="AE46" s="2" t="s">
        <v>8</v>
      </c>
      <c r="AF46" s="3" t="s">
        <v>3</v>
      </c>
      <c r="AG46" s="2" t="s">
        <v>4</v>
      </c>
      <c r="AH46" s="3" t="s">
        <v>3</v>
      </c>
      <c r="AI46" s="2" t="s">
        <v>5</v>
      </c>
      <c r="AJ46" s="3" t="s">
        <v>3</v>
      </c>
      <c r="AK46" s="2" t="s">
        <v>6</v>
      </c>
      <c r="AL46" s="3" t="s">
        <v>3</v>
      </c>
      <c r="AM46" s="2" t="s">
        <v>7</v>
      </c>
      <c r="AN46" s="3" t="s">
        <v>3</v>
      </c>
      <c r="AO46" s="2" t="s">
        <v>8</v>
      </c>
      <c r="AP46" s="3" t="s">
        <v>4</v>
      </c>
      <c r="AQ46" s="2" t="s">
        <v>5</v>
      </c>
      <c r="AR46" s="3" t="s">
        <v>4</v>
      </c>
      <c r="AS46" s="2" t="s">
        <v>6</v>
      </c>
      <c r="AT46" s="3" t="s">
        <v>4</v>
      </c>
      <c r="AU46" s="2" t="s">
        <v>7</v>
      </c>
      <c r="AV46" s="3" t="s">
        <v>4</v>
      </c>
      <c r="AW46" s="2" t="s">
        <v>8</v>
      </c>
      <c r="AX46" s="3" t="s">
        <v>5</v>
      </c>
      <c r="AY46" s="2" t="s">
        <v>6</v>
      </c>
      <c r="AZ46" s="3" t="s">
        <v>5</v>
      </c>
      <c r="BA46" s="2" t="s">
        <v>7</v>
      </c>
      <c r="BB46" s="3" t="s">
        <v>5</v>
      </c>
      <c r="BC46" s="2" t="s">
        <v>8</v>
      </c>
      <c r="BD46" s="3" t="s">
        <v>6</v>
      </c>
      <c r="BE46" s="2" t="s">
        <v>7</v>
      </c>
      <c r="BF46" s="3" t="s">
        <v>6</v>
      </c>
      <c r="BG46" s="2" t="s">
        <v>8</v>
      </c>
      <c r="BH46" s="3" t="s">
        <v>7</v>
      </c>
      <c r="BI46" s="2" t="s">
        <v>8</v>
      </c>
    </row>
    <row r="47" spans="1:61" x14ac:dyDescent="0.25">
      <c r="A47" s="9"/>
      <c r="B47" s="17">
        <v>0.89359999999999984</v>
      </c>
      <c r="D47" t="s">
        <v>12</v>
      </c>
      <c r="E47" t="s">
        <v>4</v>
      </c>
      <c r="F47" s="1">
        <v>0.76882000000000006</v>
      </c>
      <c r="G47">
        <v>0.5576000000000001</v>
      </c>
      <c r="H47" s="1">
        <v>0.76882000000000006</v>
      </c>
      <c r="I47">
        <v>0.41525000000000001</v>
      </c>
      <c r="J47" s="1">
        <v>0.76882000000000006</v>
      </c>
      <c r="K47">
        <v>0.92172999999999994</v>
      </c>
      <c r="L47" s="1">
        <v>0.76882000000000006</v>
      </c>
      <c r="M47">
        <v>0.70094999999999996</v>
      </c>
      <c r="N47" s="1">
        <v>0.76882000000000006</v>
      </c>
      <c r="O47">
        <v>0.40565000000000007</v>
      </c>
      <c r="P47" s="1">
        <v>0.76882000000000006</v>
      </c>
      <c r="Q47">
        <v>0.79466999999999999</v>
      </c>
      <c r="R47" s="1">
        <v>0.76882000000000006</v>
      </c>
      <c r="S47">
        <v>0.32197999999999999</v>
      </c>
      <c r="T47" s="1">
        <v>0.5576000000000001</v>
      </c>
      <c r="U47" s="2">
        <v>0.41525000000000001</v>
      </c>
      <c r="V47" s="1">
        <v>0.5576000000000001</v>
      </c>
      <c r="W47">
        <v>0.92172999999999994</v>
      </c>
      <c r="X47" s="1">
        <v>0.5576000000000001</v>
      </c>
      <c r="Y47">
        <v>0.70094999999999996</v>
      </c>
      <c r="Z47" s="1">
        <v>0.5576000000000001</v>
      </c>
      <c r="AA47">
        <v>0.40565000000000007</v>
      </c>
      <c r="AB47" s="1">
        <v>0.5576000000000001</v>
      </c>
      <c r="AC47">
        <v>0.79466999999999999</v>
      </c>
      <c r="AD47" s="1">
        <v>0.5576000000000001</v>
      </c>
      <c r="AE47">
        <v>0.32197999999999999</v>
      </c>
      <c r="AF47" s="1">
        <v>0.41525000000000001</v>
      </c>
      <c r="AG47">
        <v>0.92172999999999994</v>
      </c>
      <c r="AH47" s="1">
        <v>0.41525000000000001</v>
      </c>
      <c r="AI47">
        <v>0.70094999999999996</v>
      </c>
      <c r="AJ47" s="1">
        <v>0.41525000000000001</v>
      </c>
      <c r="AK47">
        <v>0.40565000000000007</v>
      </c>
      <c r="AL47" s="1">
        <v>0.41525000000000001</v>
      </c>
      <c r="AM47">
        <v>0.79466999999999999</v>
      </c>
      <c r="AN47" s="1">
        <v>0.41525000000000001</v>
      </c>
      <c r="AO47">
        <v>0.32197999999999999</v>
      </c>
      <c r="AP47" s="1">
        <v>0.92172999999999994</v>
      </c>
      <c r="AQ47">
        <v>0.70094999999999996</v>
      </c>
      <c r="AR47" s="1">
        <v>0.92172999999999994</v>
      </c>
      <c r="AS47">
        <v>0.40565000000000007</v>
      </c>
      <c r="AT47" s="1">
        <v>0.92172999999999994</v>
      </c>
      <c r="AU47">
        <v>0.79466999999999999</v>
      </c>
      <c r="AV47" s="1">
        <v>0.92172999999999994</v>
      </c>
      <c r="AW47">
        <v>0.32197999999999999</v>
      </c>
      <c r="AX47" s="1">
        <v>0.70094999999999996</v>
      </c>
      <c r="AY47">
        <v>0.40565000000000007</v>
      </c>
      <c r="AZ47" s="1">
        <v>0.70094999999999996</v>
      </c>
      <c r="BA47">
        <v>0.79466999999999999</v>
      </c>
      <c r="BB47" s="1">
        <v>0.70094999999999996</v>
      </c>
      <c r="BC47">
        <v>0.32197999999999999</v>
      </c>
      <c r="BD47" s="1">
        <v>0.40565000000000007</v>
      </c>
      <c r="BE47">
        <v>0.79466999999999999</v>
      </c>
      <c r="BF47" s="1">
        <v>0.40565000000000007</v>
      </c>
      <c r="BG47">
        <v>0.32197999999999999</v>
      </c>
      <c r="BH47" s="1">
        <v>0.79466999999999999</v>
      </c>
      <c r="BI47">
        <v>0.32197999999999999</v>
      </c>
    </row>
    <row r="48" spans="1:61" x14ac:dyDescent="0.25">
      <c r="A48" s="10" t="s">
        <v>20</v>
      </c>
      <c r="B48" s="18">
        <v>2200</v>
      </c>
      <c r="E48" s="6"/>
      <c r="F48" s="1" t="s">
        <v>1</v>
      </c>
      <c r="G48" s="2" t="s">
        <v>2</v>
      </c>
      <c r="H48" s="1" t="s">
        <v>1</v>
      </c>
      <c r="I48" s="2" t="s">
        <v>3</v>
      </c>
      <c r="J48" s="1" t="s">
        <v>1</v>
      </c>
      <c r="K48" s="2" t="s">
        <v>4</v>
      </c>
      <c r="L48" s="1" t="s">
        <v>1</v>
      </c>
      <c r="M48" s="2" t="s">
        <v>5</v>
      </c>
      <c r="N48" s="1" t="s">
        <v>1</v>
      </c>
      <c r="O48" s="2" t="s">
        <v>6</v>
      </c>
      <c r="P48" s="1" t="s">
        <v>1</v>
      </c>
      <c r="Q48" s="2" t="s">
        <v>7</v>
      </c>
      <c r="R48" s="1" t="s">
        <v>1</v>
      </c>
      <c r="S48" s="2" t="s">
        <v>8</v>
      </c>
      <c r="T48" s="3" t="s">
        <v>2</v>
      </c>
      <c r="U48" s="4" t="s">
        <v>3</v>
      </c>
      <c r="V48" s="3" t="s">
        <v>2</v>
      </c>
      <c r="W48" s="2" t="s">
        <v>4</v>
      </c>
      <c r="X48" s="3" t="s">
        <v>2</v>
      </c>
      <c r="Y48" s="2" t="s">
        <v>5</v>
      </c>
      <c r="Z48" s="3" t="s">
        <v>2</v>
      </c>
      <c r="AA48" s="2" t="s">
        <v>6</v>
      </c>
      <c r="AB48" s="3" t="s">
        <v>2</v>
      </c>
      <c r="AC48" s="2" t="s">
        <v>7</v>
      </c>
      <c r="AD48" s="3" t="s">
        <v>2</v>
      </c>
      <c r="AE48" s="2" t="s">
        <v>8</v>
      </c>
      <c r="AF48" s="3" t="s">
        <v>3</v>
      </c>
      <c r="AG48" s="2" t="s">
        <v>4</v>
      </c>
      <c r="AH48" s="3" t="s">
        <v>3</v>
      </c>
      <c r="AI48" s="2" t="s">
        <v>5</v>
      </c>
      <c r="AJ48" s="3" t="s">
        <v>3</v>
      </c>
      <c r="AK48" s="2" t="s">
        <v>6</v>
      </c>
      <c r="AL48" s="3" t="s">
        <v>3</v>
      </c>
      <c r="AM48" s="2" t="s">
        <v>7</v>
      </c>
      <c r="AN48" s="3" t="s">
        <v>3</v>
      </c>
      <c r="AO48" s="2" t="s">
        <v>8</v>
      </c>
      <c r="AP48" s="3" t="s">
        <v>4</v>
      </c>
      <c r="AQ48" s="2" t="s">
        <v>5</v>
      </c>
      <c r="AR48" s="3" t="s">
        <v>4</v>
      </c>
      <c r="AS48" s="2" t="s">
        <v>6</v>
      </c>
      <c r="AT48" s="3" t="s">
        <v>4</v>
      </c>
      <c r="AU48" s="2" t="s">
        <v>7</v>
      </c>
      <c r="AV48" s="3" t="s">
        <v>4</v>
      </c>
      <c r="AW48" s="2" t="s">
        <v>8</v>
      </c>
      <c r="AX48" s="3" t="s">
        <v>5</v>
      </c>
      <c r="AY48" s="2" t="s">
        <v>6</v>
      </c>
      <c r="AZ48" s="3" t="s">
        <v>5</v>
      </c>
      <c r="BA48" s="2" t="s">
        <v>7</v>
      </c>
      <c r="BB48" s="3" t="s">
        <v>5</v>
      </c>
      <c r="BC48" s="2" t="s">
        <v>8</v>
      </c>
      <c r="BD48" s="3" t="s">
        <v>6</v>
      </c>
      <c r="BE48" s="2" t="s">
        <v>7</v>
      </c>
      <c r="BF48" s="3" t="s">
        <v>6</v>
      </c>
      <c r="BG48" s="2" t="s">
        <v>8</v>
      </c>
      <c r="BH48" s="3" t="s">
        <v>7</v>
      </c>
      <c r="BI48" s="2" t="s">
        <v>8</v>
      </c>
    </row>
    <row r="49" spans="1:61" x14ac:dyDescent="0.25">
      <c r="A49" s="12" t="s">
        <v>1</v>
      </c>
      <c r="B49">
        <v>0.30555999999999994</v>
      </c>
      <c r="D49" t="s">
        <v>12</v>
      </c>
      <c r="E49" t="s">
        <v>5</v>
      </c>
      <c r="F49" s="1">
        <v>0.87416000000000005</v>
      </c>
      <c r="G49">
        <v>0.7920799999999999</v>
      </c>
      <c r="H49" s="1">
        <v>0.87416000000000005</v>
      </c>
      <c r="I49">
        <v>0.44596999999999998</v>
      </c>
      <c r="J49" s="1">
        <v>0.87416000000000005</v>
      </c>
      <c r="K49">
        <v>0.80938999999999994</v>
      </c>
      <c r="L49" s="1">
        <v>0.87416000000000005</v>
      </c>
      <c r="M49">
        <v>0.91839000000000015</v>
      </c>
      <c r="N49" s="1">
        <v>0.87416000000000005</v>
      </c>
      <c r="O49">
        <v>0.42533000000000004</v>
      </c>
      <c r="P49" s="1">
        <v>0.87416000000000005</v>
      </c>
      <c r="Q49">
        <v>0.83645999999999998</v>
      </c>
      <c r="R49" s="1">
        <v>0.87416000000000005</v>
      </c>
      <c r="S49">
        <v>0.60172000000000003</v>
      </c>
      <c r="T49" s="1">
        <v>0.7920799999999999</v>
      </c>
      <c r="U49" s="2">
        <v>0.44596999999999998</v>
      </c>
      <c r="V49" s="1">
        <v>0.7920799999999999</v>
      </c>
      <c r="W49">
        <v>0.80938999999999994</v>
      </c>
      <c r="X49" s="1">
        <v>0.7920799999999999</v>
      </c>
      <c r="Y49">
        <v>0.91839000000000015</v>
      </c>
      <c r="Z49" s="1">
        <v>0.7920799999999999</v>
      </c>
      <c r="AA49">
        <v>0.42533000000000004</v>
      </c>
      <c r="AB49" s="1">
        <v>0.7920799999999999</v>
      </c>
      <c r="AC49">
        <v>0.83645999999999998</v>
      </c>
      <c r="AD49" s="1">
        <v>0.7920799999999999</v>
      </c>
      <c r="AE49">
        <v>0.60172000000000003</v>
      </c>
      <c r="AF49" s="1">
        <v>0.44596999999999998</v>
      </c>
      <c r="AG49">
        <v>0.80938999999999994</v>
      </c>
      <c r="AH49" s="1">
        <v>0.44596999999999998</v>
      </c>
      <c r="AI49">
        <v>0.91839000000000015</v>
      </c>
      <c r="AJ49" s="1">
        <v>0.44596999999999998</v>
      </c>
      <c r="AK49">
        <v>0.42533000000000004</v>
      </c>
      <c r="AL49" s="1">
        <v>0.44596999999999998</v>
      </c>
      <c r="AM49">
        <v>0.83645999999999998</v>
      </c>
      <c r="AN49" s="1">
        <v>0.44596999999999998</v>
      </c>
      <c r="AO49">
        <v>0.60172000000000003</v>
      </c>
      <c r="AP49" s="1">
        <v>0.80938999999999994</v>
      </c>
      <c r="AQ49">
        <v>0.91839000000000015</v>
      </c>
      <c r="AR49" s="1">
        <v>0.80938999999999994</v>
      </c>
      <c r="AS49">
        <v>0.42533000000000004</v>
      </c>
      <c r="AT49" s="1">
        <v>0.80938999999999994</v>
      </c>
      <c r="AU49">
        <v>0.83645999999999998</v>
      </c>
      <c r="AV49" s="1">
        <v>0.80938999999999994</v>
      </c>
      <c r="AW49">
        <v>0.60172000000000003</v>
      </c>
      <c r="AX49" s="1">
        <v>0.91839000000000015</v>
      </c>
      <c r="AY49">
        <v>0.42533000000000004</v>
      </c>
      <c r="AZ49" s="1">
        <v>0.91839000000000015</v>
      </c>
      <c r="BA49">
        <v>0.83645999999999998</v>
      </c>
      <c r="BB49" s="1">
        <v>0.91839000000000015</v>
      </c>
      <c r="BC49">
        <v>0.60172000000000003</v>
      </c>
      <c r="BD49" s="1">
        <v>0.42533000000000004</v>
      </c>
      <c r="BE49">
        <v>0.83645999999999998</v>
      </c>
      <c r="BF49" s="1">
        <v>0.42533000000000004</v>
      </c>
      <c r="BG49">
        <v>0.60172000000000003</v>
      </c>
      <c r="BH49" s="1">
        <v>0.83645999999999998</v>
      </c>
      <c r="BI49">
        <v>0.60172000000000003</v>
      </c>
    </row>
    <row r="50" spans="1:61" x14ac:dyDescent="0.25">
      <c r="A50" s="12" t="s">
        <v>2</v>
      </c>
      <c r="B50">
        <v>0.34916999999999998</v>
      </c>
      <c r="E50" s="6"/>
      <c r="F50" s="1" t="s">
        <v>1</v>
      </c>
      <c r="G50" s="2" t="s">
        <v>2</v>
      </c>
      <c r="H50" s="1" t="s">
        <v>1</v>
      </c>
      <c r="I50" s="2" t="s">
        <v>3</v>
      </c>
      <c r="J50" s="1" t="s">
        <v>1</v>
      </c>
      <c r="K50" s="2" t="s">
        <v>4</v>
      </c>
      <c r="L50" s="1" t="s">
        <v>1</v>
      </c>
      <c r="M50" s="2" t="s">
        <v>5</v>
      </c>
      <c r="N50" s="1" t="s">
        <v>1</v>
      </c>
      <c r="O50" s="2" t="s">
        <v>6</v>
      </c>
      <c r="P50" s="1" t="s">
        <v>1</v>
      </c>
      <c r="Q50" s="2" t="s">
        <v>7</v>
      </c>
      <c r="R50" s="1" t="s">
        <v>1</v>
      </c>
      <c r="S50" s="2" t="s">
        <v>8</v>
      </c>
      <c r="T50" s="3" t="s">
        <v>2</v>
      </c>
      <c r="U50" s="4" t="s">
        <v>3</v>
      </c>
      <c r="V50" s="3" t="s">
        <v>2</v>
      </c>
      <c r="W50" s="2" t="s">
        <v>4</v>
      </c>
      <c r="X50" s="3" t="s">
        <v>2</v>
      </c>
      <c r="Y50" s="2" t="s">
        <v>5</v>
      </c>
      <c r="Z50" s="3" t="s">
        <v>2</v>
      </c>
      <c r="AA50" s="2" t="s">
        <v>6</v>
      </c>
      <c r="AB50" s="3" t="s">
        <v>2</v>
      </c>
      <c r="AC50" s="2" t="s">
        <v>7</v>
      </c>
      <c r="AD50" s="3" t="s">
        <v>2</v>
      </c>
      <c r="AE50" s="2" t="s">
        <v>8</v>
      </c>
      <c r="AF50" s="3" t="s">
        <v>3</v>
      </c>
      <c r="AG50" s="2" t="s">
        <v>4</v>
      </c>
      <c r="AH50" s="3" t="s">
        <v>3</v>
      </c>
      <c r="AI50" s="2" t="s">
        <v>5</v>
      </c>
      <c r="AJ50" s="3" t="s">
        <v>3</v>
      </c>
      <c r="AK50" s="2" t="s">
        <v>6</v>
      </c>
      <c r="AL50" s="3" t="s">
        <v>3</v>
      </c>
      <c r="AM50" s="2" t="s">
        <v>7</v>
      </c>
      <c r="AN50" s="3" t="s">
        <v>3</v>
      </c>
      <c r="AO50" s="2" t="s">
        <v>8</v>
      </c>
      <c r="AP50" s="3" t="s">
        <v>4</v>
      </c>
      <c r="AQ50" s="2" t="s">
        <v>5</v>
      </c>
      <c r="AR50" s="3" t="s">
        <v>4</v>
      </c>
      <c r="AS50" s="2" t="s">
        <v>6</v>
      </c>
      <c r="AT50" s="3" t="s">
        <v>4</v>
      </c>
      <c r="AU50" s="2" t="s">
        <v>7</v>
      </c>
      <c r="AV50" s="3" t="s">
        <v>4</v>
      </c>
      <c r="AW50" s="2" t="s">
        <v>8</v>
      </c>
      <c r="AX50" s="3" t="s">
        <v>5</v>
      </c>
      <c r="AY50" s="2" t="s">
        <v>6</v>
      </c>
      <c r="AZ50" s="3" t="s">
        <v>5</v>
      </c>
      <c r="BA50" s="2" t="s">
        <v>7</v>
      </c>
      <c r="BB50" s="3" t="s">
        <v>5</v>
      </c>
      <c r="BC50" s="2" t="s">
        <v>8</v>
      </c>
      <c r="BD50" s="3" t="s">
        <v>6</v>
      </c>
      <c r="BE50" s="2" t="s">
        <v>7</v>
      </c>
      <c r="BF50" s="3" t="s">
        <v>6</v>
      </c>
      <c r="BG50" s="2" t="s">
        <v>8</v>
      </c>
      <c r="BH50" s="3" t="s">
        <v>7</v>
      </c>
      <c r="BI50" s="2" t="s">
        <v>8</v>
      </c>
    </row>
    <row r="51" spans="1:61" x14ac:dyDescent="0.25">
      <c r="A51" s="12" t="s">
        <v>3</v>
      </c>
      <c r="B51">
        <v>0.32317000000000001</v>
      </c>
      <c r="D51" t="s">
        <v>12</v>
      </c>
      <c r="E51" t="s">
        <v>6</v>
      </c>
      <c r="F51" s="1">
        <v>0.71521000000000001</v>
      </c>
      <c r="G51">
        <v>0.59426999999999996</v>
      </c>
      <c r="H51" s="1">
        <v>0.71521000000000001</v>
      </c>
      <c r="I51">
        <v>0.49350000000000005</v>
      </c>
      <c r="J51" s="1">
        <v>0.71521000000000001</v>
      </c>
      <c r="K51">
        <v>0.76907999999999999</v>
      </c>
      <c r="L51" s="1">
        <v>0.71521000000000001</v>
      </c>
      <c r="M51">
        <v>0.76750999999999991</v>
      </c>
      <c r="N51" s="1">
        <v>0.71521000000000001</v>
      </c>
      <c r="O51">
        <v>0.90150000000000008</v>
      </c>
      <c r="P51" s="1">
        <v>0.71521000000000001</v>
      </c>
      <c r="Q51">
        <v>0.75786999999999982</v>
      </c>
      <c r="R51" s="1">
        <v>0.71521000000000001</v>
      </c>
      <c r="S51">
        <v>0.33998</v>
      </c>
      <c r="T51" s="1">
        <v>0.59426999999999996</v>
      </c>
      <c r="U51" s="2">
        <v>0.49350000000000005</v>
      </c>
      <c r="V51" s="1">
        <v>0.59426999999999996</v>
      </c>
      <c r="W51">
        <v>0.76907999999999999</v>
      </c>
      <c r="X51" s="1">
        <v>0.59426999999999996</v>
      </c>
      <c r="Y51">
        <v>0.76750999999999991</v>
      </c>
      <c r="Z51" s="1">
        <v>0.59426999999999996</v>
      </c>
      <c r="AA51">
        <v>0.90150000000000008</v>
      </c>
      <c r="AB51" s="1">
        <v>0.59426999999999996</v>
      </c>
      <c r="AC51">
        <v>0.75786999999999982</v>
      </c>
      <c r="AD51" s="1">
        <v>0.59426999999999996</v>
      </c>
      <c r="AE51">
        <v>0.33998</v>
      </c>
      <c r="AF51" s="1">
        <v>0.49350000000000005</v>
      </c>
      <c r="AG51">
        <v>0.76907999999999999</v>
      </c>
      <c r="AH51" s="1">
        <v>0.49350000000000005</v>
      </c>
      <c r="AI51">
        <v>0.76750999999999991</v>
      </c>
      <c r="AJ51" s="1">
        <v>0.49350000000000005</v>
      </c>
      <c r="AK51">
        <v>0.90150000000000008</v>
      </c>
      <c r="AL51" s="1">
        <v>0.49350000000000005</v>
      </c>
      <c r="AM51">
        <v>0.75786999999999982</v>
      </c>
      <c r="AN51" s="1">
        <v>0.49350000000000005</v>
      </c>
      <c r="AO51">
        <v>0.33998</v>
      </c>
      <c r="AP51" s="1">
        <v>0.76907999999999999</v>
      </c>
      <c r="AQ51">
        <v>0.76750999999999991</v>
      </c>
      <c r="AR51" s="1">
        <v>0.76907999999999999</v>
      </c>
      <c r="AS51">
        <v>0.90150000000000008</v>
      </c>
      <c r="AT51" s="1">
        <v>0.76907999999999999</v>
      </c>
      <c r="AU51">
        <v>0.75786999999999982</v>
      </c>
      <c r="AV51" s="1">
        <v>0.76907999999999999</v>
      </c>
      <c r="AW51">
        <v>0.33998</v>
      </c>
      <c r="AX51" s="1">
        <v>0.76750999999999991</v>
      </c>
      <c r="AY51">
        <v>0.90150000000000008</v>
      </c>
      <c r="AZ51" s="1">
        <v>0.76750999999999991</v>
      </c>
      <c r="BA51">
        <v>0.75786999999999982</v>
      </c>
      <c r="BB51" s="1">
        <v>0.76750999999999991</v>
      </c>
      <c r="BC51">
        <v>0.33998</v>
      </c>
      <c r="BD51" s="1">
        <v>0.90150000000000008</v>
      </c>
      <c r="BE51">
        <v>0.75786999999999982</v>
      </c>
      <c r="BF51" s="1">
        <v>0.90150000000000008</v>
      </c>
      <c r="BG51">
        <v>0.33998</v>
      </c>
      <c r="BH51" s="1">
        <v>0.75786999999999982</v>
      </c>
      <c r="BI51">
        <v>0.33998</v>
      </c>
    </row>
    <row r="52" spans="1:61" x14ac:dyDescent="0.25">
      <c r="A52" s="12" t="s">
        <v>10</v>
      </c>
      <c r="B52">
        <v>0.33040000000000003</v>
      </c>
      <c r="E52" s="6"/>
      <c r="F52" s="1" t="s">
        <v>1</v>
      </c>
      <c r="G52" s="2" t="s">
        <v>2</v>
      </c>
      <c r="H52" s="1" t="s">
        <v>1</v>
      </c>
      <c r="I52" s="2" t="s">
        <v>3</v>
      </c>
      <c r="J52" s="1" t="s">
        <v>1</v>
      </c>
      <c r="K52" s="2" t="s">
        <v>4</v>
      </c>
      <c r="L52" s="1" t="s">
        <v>1</v>
      </c>
      <c r="M52" s="2" t="s">
        <v>5</v>
      </c>
      <c r="N52" s="1" t="s">
        <v>1</v>
      </c>
      <c r="O52" s="2" t="s">
        <v>6</v>
      </c>
      <c r="P52" s="1" t="s">
        <v>1</v>
      </c>
      <c r="Q52" s="2" t="s">
        <v>7</v>
      </c>
      <c r="R52" s="1" t="s">
        <v>1</v>
      </c>
      <c r="S52" s="2" t="s">
        <v>8</v>
      </c>
      <c r="T52" s="3" t="s">
        <v>2</v>
      </c>
      <c r="U52" s="4" t="s">
        <v>3</v>
      </c>
      <c r="V52" s="3" t="s">
        <v>2</v>
      </c>
      <c r="W52" s="2" t="s">
        <v>4</v>
      </c>
      <c r="X52" s="3" t="s">
        <v>2</v>
      </c>
      <c r="Y52" s="2" t="s">
        <v>5</v>
      </c>
      <c r="Z52" s="3" t="s">
        <v>2</v>
      </c>
      <c r="AA52" s="2" t="s">
        <v>6</v>
      </c>
      <c r="AB52" s="3" t="s">
        <v>2</v>
      </c>
      <c r="AC52" s="2" t="s">
        <v>7</v>
      </c>
      <c r="AD52" s="3" t="s">
        <v>2</v>
      </c>
      <c r="AE52" s="2" t="s">
        <v>8</v>
      </c>
      <c r="AF52" s="3" t="s">
        <v>3</v>
      </c>
      <c r="AG52" s="2" t="s">
        <v>4</v>
      </c>
      <c r="AH52" s="3" t="s">
        <v>3</v>
      </c>
      <c r="AI52" s="2" t="s">
        <v>5</v>
      </c>
      <c r="AJ52" s="3" t="s">
        <v>3</v>
      </c>
      <c r="AK52" s="2" t="s">
        <v>6</v>
      </c>
      <c r="AL52" s="3" t="s">
        <v>3</v>
      </c>
      <c r="AM52" s="2" t="s">
        <v>7</v>
      </c>
      <c r="AN52" s="3" t="s">
        <v>3</v>
      </c>
      <c r="AO52" s="2" t="s">
        <v>8</v>
      </c>
      <c r="AP52" s="3" t="s">
        <v>4</v>
      </c>
      <c r="AQ52" s="2" t="s">
        <v>5</v>
      </c>
      <c r="AR52" s="3" t="s">
        <v>4</v>
      </c>
      <c r="AS52" s="2" t="s">
        <v>6</v>
      </c>
      <c r="AT52" s="3" t="s">
        <v>4</v>
      </c>
      <c r="AU52" s="2" t="s">
        <v>7</v>
      </c>
      <c r="AV52" s="3" t="s">
        <v>4</v>
      </c>
      <c r="AW52" s="2" t="s">
        <v>8</v>
      </c>
      <c r="AX52" s="3" t="s">
        <v>5</v>
      </c>
      <c r="AY52" s="2" t="s">
        <v>6</v>
      </c>
      <c r="AZ52" s="3" t="s">
        <v>5</v>
      </c>
      <c r="BA52" s="2" t="s">
        <v>7</v>
      </c>
      <c r="BB52" s="3" t="s">
        <v>5</v>
      </c>
      <c r="BC52" s="2" t="s">
        <v>8</v>
      </c>
      <c r="BD52" s="3" t="s">
        <v>6</v>
      </c>
      <c r="BE52" s="2" t="s">
        <v>7</v>
      </c>
      <c r="BF52" s="3" t="s">
        <v>6</v>
      </c>
      <c r="BG52" s="2" t="s">
        <v>8</v>
      </c>
      <c r="BH52" s="3" t="s">
        <v>7</v>
      </c>
      <c r="BI52" s="2" t="s">
        <v>8</v>
      </c>
    </row>
    <row r="53" spans="1:61" x14ac:dyDescent="0.25">
      <c r="A53" s="11" t="s">
        <v>11</v>
      </c>
      <c r="B53">
        <v>0.89359999999999984</v>
      </c>
      <c r="D53" t="s">
        <v>12</v>
      </c>
      <c r="E53" t="s">
        <v>7</v>
      </c>
      <c r="F53" s="1">
        <v>0.76648999999999989</v>
      </c>
      <c r="G53">
        <v>0.62781999999999993</v>
      </c>
      <c r="H53" s="1">
        <v>0.76648999999999989</v>
      </c>
      <c r="I53">
        <v>0.57226999999999995</v>
      </c>
      <c r="J53" s="1">
        <v>0.76648999999999989</v>
      </c>
      <c r="K53">
        <v>0.61680000000000013</v>
      </c>
      <c r="L53" s="1">
        <v>0.76648999999999989</v>
      </c>
      <c r="M53">
        <v>0.6613</v>
      </c>
      <c r="N53" s="1">
        <v>0.76648999999999989</v>
      </c>
      <c r="O53">
        <v>0.36594999999999989</v>
      </c>
      <c r="P53" s="1">
        <v>0.76648999999999989</v>
      </c>
      <c r="Q53">
        <v>0.98265999999999987</v>
      </c>
      <c r="R53" s="1">
        <v>0.76648999999999989</v>
      </c>
      <c r="S53">
        <v>0.60840000000000005</v>
      </c>
      <c r="T53" s="1">
        <v>0.62781999999999993</v>
      </c>
      <c r="U53" s="2">
        <v>0.57226999999999995</v>
      </c>
      <c r="V53" s="1">
        <v>0.62781999999999993</v>
      </c>
      <c r="W53">
        <v>0.61680000000000013</v>
      </c>
      <c r="X53" s="1">
        <v>0.62781999999999993</v>
      </c>
      <c r="Y53">
        <v>0.6613</v>
      </c>
      <c r="Z53" s="1">
        <v>0.62781999999999993</v>
      </c>
      <c r="AA53">
        <v>0.36594999999999989</v>
      </c>
      <c r="AB53" s="1">
        <v>0.62781999999999993</v>
      </c>
      <c r="AC53">
        <v>0.98265999999999987</v>
      </c>
      <c r="AD53" s="1">
        <v>0.62781999999999993</v>
      </c>
      <c r="AE53">
        <v>0.60840000000000005</v>
      </c>
      <c r="AF53" s="1">
        <v>0.57226999999999995</v>
      </c>
      <c r="AG53">
        <v>0.61680000000000013</v>
      </c>
      <c r="AH53" s="1">
        <v>0.57226999999999995</v>
      </c>
      <c r="AI53">
        <v>0.6613</v>
      </c>
      <c r="AJ53" s="1">
        <v>0.57226999999999995</v>
      </c>
      <c r="AK53">
        <v>0.36594999999999989</v>
      </c>
      <c r="AL53" s="1">
        <v>0.57226999999999995</v>
      </c>
      <c r="AM53">
        <v>0.98265999999999987</v>
      </c>
      <c r="AN53" s="1">
        <v>0.57226999999999995</v>
      </c>
      <c r="AO53">
        <v>0.60840000000000005</v>
      </c>
      <c r="AP53" s="1">
        <v>0.61680000000000013</v>
      </c>
      <c r="AQ53">
        <v>0.6613</v>
      </c>
      <c r="AR53" s="1">
        <v>0.61680000000000013</v>
      </c>
      <c r="AS53">
        <v>0.36594999999999989</v>
      </c>
      <c r="AT53" s="1">
        <v>0.61680000000000013</v>
      </c>
      <c r="AU53">
        <v>0.98265999999999987</v>
      </c>
      <c r="AV53" s="1">
        <v>0.61680000000000013</v>
      </c>
      <c r="AW53">
        <v>0.60840000000000005</v>
      </c>
      <c r="AX53" s="1">
        <v>0.6613</v>
      </c>
      <c r="AY53">
        <v>0.36594999999999989</v>
      </c>
      <c r="AZ53" s="1">
        <v>0.6613</v>
      </c>
      <c r="BA53">
        <v>0.98265999999999987</v>
      </c>
      <c r="BB53" s="1">
        <v>0.6613</v>
      </c>
      <c r="BC53">
        <v>0.60840000000000005</v>
      </c>
      <c r="BD53" s="1">
        <v>0.36594999999999989</v>
      </c>
      <c r="BE53">
        <v>0.98265999999999987</v>
      </c>
      <c r="BF53" s="1">
        <v>0.36594999999999989</v>
      </c>
      <c r="BG53">
        <v>0.60840000000000005</v>
      </c>
      <c r="BH53" s="1">
        <v>0.98265999999999987</v>
      </c>
      <c r="BI53">
        <v>0.60840000000000005</v>
      </c>
    </row>
    <row r="54" spans="1:61" x14ac:dyDescent="0.25">
      <c r="A54" s="13" t="s">
        <v>6</v>
      </c>
      <c r="B54">
        <v>0.53690000000000004</v>
      </c>
      <c r="F54" s="1" t="s">
        <v>1</v>
      </c>
      <c r="G54" s="2" t="s">
        <v>2</v>
      </c>
      <c r="H54" s="1" t="s">
        <v>1</v>
      </c>
      <c r="I54" s="2" t="s">
        <v>3</v>
      </c>
      <c r="J54" s="1" t="s">
        <v>1</v>
      </c>
      <c r="K54" s="2" t="s">
        <v>4</v>
      </c>
      <c r="L54" s="1" t="s">
        <v>1</v>
      </c>
      <c r="M54" s="2" t="s">
        <v>5</v>
      </c>
      <c r="N54" s="1" t="s">
        <v>1</v>
      </c>
      <c r="O54" s="2" t="s">
        <v>6</v>
      </c>
      <c r="P54" s="1" t="s">
        <v>1</v>
      </c>
      <c r="Q54" s="2" t="s">
        <v>7</v>
      </c>
      <c r="R54" s="1" t="s">
        <v>1</v>
      </c>
      <c r="S54" s="2" t="s">
        <v>8</v>
      </c>
      <c r="T54" s="3" t="s">
        <v>2</v>
      </c>
      <c r="U54" s="4" t="s">
        <v>3</v>
      </c>
      <c r="V54" s="3" t="s">
        <v>2</v>
      </c>
      <c r="W54" s="2" t="s">
        <v>4</v>
      </c>
      <c r="X54" s="3" t="s">
        <v>2</v>
      </c>
      <c r="Y54" s="2" t="s">
        <v>5</v>
      </c>
      <c r="Z54" s="3" t="s">
        <v>2</v>
      </c>
      <c r="AA54" s="2" t="s">
        <v>6</v>
      </c>
      <c r="AB54" s="3" t="s">
        <v>2</v>
      </c>
      <c r="AC54" s="2" t="s">
        <v>7</v>
      </c>
      <c r="AD54" s="3" t="s">
        <v>2</v>
      </c>
      <c r="AE54" s="2" t="s">
        <v>8</v>
      </c>
      <c r="AF54" s="3" t="s">
        <v>3</v>
      </c>
      <c r="AG54" s="2" t="s">
        <v>4</v>
      </c>
      <c r="AH54" s="3" t="s">
        <v>3</v>
      </c>
      <c r="AI54" s="2" t="s">
        <v>5</v>
      </c>
      <c r="AJ54" s="3" t="s">
        <v>3</v>
      </c>
      <c r="AK54" s="2" t="s">
        <v>6</v>
      </c>
      <c r="AL54" s="3" t="s">
        <v>3</v>
      </c>
      <c r="AM54" s="2" t="s">
        <v>7</v>
      </c>
      <c r="AN54" s="3" t="s">
        <v>3</v>
      </c>
      <c r="AO54" s="2" t="s">
        <v>8</v>
      </c>
      <c r="AP54" s="3" t="s">
        <v>4</v>
      </c>
      <c r="AQ54" s="2" t="s">
        <v>5</v>
      </c>
      <c r="AR54" s="3" t="s">
        <v>4</v>
      </c>
      <c r="AS54" s="2" t="s">
        <v>6</v>
      </c>
      <c r="AT54" s="3" t="s">
        <v>4</v>
      </c>
      <c r="AU54" s="2" t="s">
        <v>7</v>
      </c>
      <c r="AV54" s="3" t="s">
        <v>4</v>
      </c>
      <c r="AW54" s="2" t="s">
        <v>8</v>
      </c>
      <c r="AX54" s="3" t="s">
        <v>5</v>
      </c>
      <c r="AY54" s="2" t="s">
        <v>6</v>
      </c>
      <c r="AZ54" s="3" t="s">
        <v>5</v>
      </c>
      <c r="BA54" s="2" t="s">
        <v>7</v>
      </c>
      <c r="BB54" s="3" t="s">
        <v>5</v>
      </c>
      <c r="BC54" s="2" t="s">
        <v>8</v>
      </c>
      <c r="BD54" s="3" t="s">
        <v>6</v>
      </c>
      <c r="BE54" s="2" t="s">
        <v>7</v>
      </c>
      <c r="BF54" s="3" t="s">
        <v>6</v>
      </c>
      <c r="BG54" s="2" t="s">
        <v>8</v>
      </c>
      <c r="BH54" s="3" t="s">
        <v>7</v>
      </c>
      <c r="BI54" s="2" t="s">
        <v>8</v>
      </c>
    </row>
    <row r="55" spans="1:61" x14ac:dyDescent="0.25">
      <c r="A55" s="12" t="s">
        <v>7</v>
      </c>
      <c r="B55">
        <v>0.36818999999999996</v>
      </c>
      <c r="D55" t="s">
        <v>12</v>
      </c>
      <c r="E55" t="s">
        <v>8</v>
      </c>
      <c r="F55" s="1">
        <v>0.8192299999999999</v>
      </c>
      <c r="G55">
        <v>0.75731999999999999</v>
      </c>
      <c r="H55" s="1">
        <v>0.8192299999999999</v>
      </c>
      <c r="I55">
        <v>0.40082000000000007</v>
      </c>
      <c r="J55" s="1">
        <v>0.8192299999999999</v>
      </c>
      <c r="K55">
        <v>0.18127999999999997</v>
      </c>
      <c r="L55" s="1">
        <v>0.8192299999999999</v>
      </c>
      <c r="M55">
        <v>0.34606000000000003</v>
      </c>
      <c r="N55" s="1">
        <v>0.8192299999999999</v>
      </c>
      <c r="O55">
        <v>0.19511000000000003</v>
      </c>
      <c r="P55" s="1">
        <v>0.8192299999999999</v>
      </c>
      <c r="Q55">
        <v>0.43649000000000004</v>
      </c>
      <c r="R55" s="1">
        <v>0.8192299999999999</v>
      </c>
      <c r="S55">
        <v>0.99820000000000009</v>
      </c>
      <c r="T55" s="1">
        <v>0.75731999999999999</v>
      </c>
      <c r="U55" s="2">
        <v>0.40082000000000007</v>
      </c>
      <c r="V55" s="1">
        <v>0.75731999999999999</v>
      </c>
      <c r="W55">
        <v>0.18127999999999997</v>
      </c>
      <c r="X55" s="1">
        <v>0.75731999999999999</v>
      </c>
      <c r="Y55">
        <v>0.34606000000000003</v>
      </c>
      <c r="Z55" s="1">
        <v>0.75731999999999999</v>
      </c>
      <c r="AA55">
        <v>0.19511000000000003</v>
      </c>
      <c r="AB55" s="1">
        <v>0.75731999999999999</v>
      </c>
      <c r="AC55">
        <v>0.43649000000000004</v>
      </c>
      <c r="AD55" s="1">
        <v>0.75731999999999999</v>
      </c>
      <c r="AE55">
        <v>0.99820000000000009</v>
      </c>
      <c r="AF55" s="1">
        <v>0.40082000000000007</v>
      </c>
      <c r="AG55">
        <v>0.18127999999999997</v>
      </c>
      <c r="AH55" s="1">
        <v>0.40082000000000007</v>
      </c>
      <c r="AI55">
        <v>0.34606000000000003</v>
      </c>
      <c r="AJ55" s="1">
        <v>0.40082000000000007</v>
      </c>
      <c r="AK55">
        <v>0.19511000000000003</v>
      </c>
      <c r="AL55" s="1">
        <v>0.40082000000000007</v>
      </c>
      <c r="AM55">
        <v>0.43649000000000004</v>
      </c>
      <c r="AN55" s="1">
        <v>0.40082000000000007</v>
      </c>
      <c r="AO55">
        <v>0.99820000000000009</v>
      </c>
      <c r="AP55" s="1">
        <v>0.18127999999999997</v>
      </c>
      <c r="AQ55">
        <v>0.34606000000000003</v>
      </c>
      <c r="AR55" s="1">
        <v>0.18127999999999997</v>
      </c>
      <c r="AS55">
        <v>0.19511000000000003</v>
      </c>
      <c r="AT55" s="1">
        <v>0.18127999999999997</v>
      </c>
      <c r="AU55">
        <v>0.43649000000000004</v>
      </c>
      <c r="AV55" s="1">
        <v>0.18127999999999997</v>
      </c>
      <c r="AW55">
        <v>0.99820000000000009</v>
      </c>
      <c r="AX55" s="1">
        <v>0.34606000000000003</v>
      </c>
      <c r="AY55">
        <v>0.19511000000000003</v>
      </c>
      <c r="AZ55" s="1">
        <v>0.34606000000000003</v>
      </c>
      <c r="BA55">
        <v>0.43649000000000004</v>
      </c>
      <c r="BB55" s="1">
        <v>0.34606000000000003</v>
      </c>
      <c r="BC55">
        <v>0.99820000000000009</v>
      </c>
      <c r="BD55" s="1">
        <v>0.19511000000000003</v>
      </c>
      <c r="BE55">
        <v>0.43649000000000004</v>
      </c>
      <c r="BF55" s="1">
        <v>0.19511000000000003</v>
      </c>
      <c r="BG55">
        <v>0.99820000000000009</v>
      </c>
      <c r="BH55" s="1">
        <v>0.43649000000000004</v>
      </c>
      <c r="BI55">
        <v>0.99820000000000009</v>
      </c>
    </row>
    <row r="56" spans="1:61" x14ac:dyDescent="0.25">
      <c r="A56" s="12" t="s">
        <v>8</v>
      </c>
      <c r="B56">
        <v>6.5220000000000014E-2</v>
      </c>
      <c r="D56" s="2"/>
      <c r="E56" s="2"/>
      <c r="F56" s="1"/>
      <c r="G56" s="2"/>
      <c r="H56" s="3"/>
      <c r="I56" s="2"/>
      <c r="J56" s="1"/>
      <c r="K56" s="4"/>
      <c r="L56" s="1"/>
      <c r="M56" s="2"/>
      <c r="N56" s="3"/>
      <c r="O56" s="2"/>
      <c r="P56" s="1"/>
      <c r="Q56" s="2"/>
      <c r="R56" s="1"/>
      <c r="S56" s="2"/>
      <c r="T56" s="1"/>
      <c r="U56" s="2"/>
      <c r="V56" s="1"/>
      <c r="W56" s="2"/>
      <c r="X56" s="1"/>
      <c r="Y56" s="2"/>
      <c r="Z56" s="1"/>
      <c r="AA56" s="2"/>
      <c r="AB56" s="1"/>
      <c r="AC56" s="2"/>
      <c r="AD56" s="1"/>
      <c r="AE56" s="2"/>
      <c r="AF56" s="1"/>
      <c r="AG56" s="2"/>
      <c r="AH56" s="1"/>
      <c r="AI56" s="2"/>
      <c r="AJ56" s="1"/>
      <c r="AK56" s="2"/>
      <c r="AL56" s="1"/>
      <c r="AM56" s="2"/>
      <c r="AN56" s="1"/>
      <c r="AO56" s="2"/>
      <c r="AP56" s="1"/>
      <c r="AQ56" s="2"/>
      <c r="AR56" s="1"/>
      <c r="AS56" s="2"/>
      <c r="AT56" s="1"/>
      <c r="AU56" s="2"/>
      <c r="AV56" s="1"/>
      <c r="AW56" s="2"/>
      <c r="AX56" s="1"/>
      <c r="AY56" s="2"/>
      <c r="AZ56" s="1"/>
      <c r="BA56" s="2"/>
      <c r="BB56" s="1"/>
      <c r="BC56" s="2"/>
      <c r="BD56" s="1"/>
      <c r="BE56" s="2"/>
      <c r="BF56" s="1"/>
      <c r="BG56" s="2"/>
      <c r="BH56" s="1"/>
      <c r="BI56" s="2"/>
    </row>
    <row r="57" spans="1:61" x14ac:dyDescent="0.25">
      <c r="A57" s="8">
        <v>100</v>
      </c>
      <c r="B57" s="17">
        <v>1</v>
      </c>
      <c r="D57" s="2"/>
      <c r="E57" s="2"/>
      <c r="F57" s="1"/>
      <c r="G57" s="2"/>
      <c r="H57" s="3"/>
      <c r="I57" s="2"/>
      <c r="J57" s="1"/>
      <c r="K57" s="4"/>
      <c r="L57" s="1"/>
      <c r="M57" s="2"/>
      <c r="N57" s="3"/>
      <c r="O57" s="2"/>
      <c r="P57" s="1"/>
      <c r="Q57" s="2"/>
      <c r="R57" s="1"/>
      <c r="S57" s="2"/>
      <c r="T57" s="1"/>
      <c r="U57" s="2"/>
      <c r="V57" s="1"/>
      <c r="W57" s="2"/>
      <c r="X57" s="1"/>
      <c r="Y57" s="2"/>
      <c r="Z57" s="1"/>
      <c r="AA57" s="2"/>
      <c r="AB57" s="1"/>
      <c r="AC57" s="2"/>
      <c r="AD57" s="1"/>
      <c r="AE57" s="2"/>
      <c r="AF57" s="1"/>
      <c r="AG57" s="2"/>
      <c r="AH57" s="1"/>
      <c r="AI57" s="2"/>
      <c r="AJ57" s="1"/>
      <c r="AK57" s="2"/>
      <c r="AL57" s="1"/>
      <c r="AM57" s="2"/>
      <c r="AN57" s="1"/>
      <c r="AO57" s="2"/>
      <c r="AP57" s="1"/>
      <c r="AQ57" s="2"/>
      <c r="AR57" s="1"/>
      <c r="AS57" s="2"/>
      <c r="AT57" s="1"/>
      <c r="AU57" s="2"/>
      <c r="AV57" s="1"/>
      <c r="AW57" s="2"/>
      <c r="AX57" s="1"/>
      <c r="AY57" s="2"/>
      <c r="AZ57" s="1"/>
      <c r="BA57" s="2"/>
      <c r="BB57" s="1"/>
      <c r="BC57" s="2"/>
      <c r="BD57" s="1"/>
      <c r="BE57" s="2"/>
      <c r="BF57" s="1"/>
      <c r="BG57" s="2"/>
      <c r="BH57" s="1"/>
      <c r="BI57" s="2"/>
    </row>
    <row r="58" spans="1:61" x14ac:dyDescent="0.25">
      <c r="A58" s="9"/>
      <c r="B58" s="17">
        <v>0.97331999999999996</v>
      </c>
      <c r="D58" s="100" t="s">
        <v>15</v>
      </c>
      <c r="E58" s="100"/>
      <c r="F58" s="1"/>
      <c r="G58" s="2"/>
      <c r="H58" s="3"/>
      <c r="I58" s="2"/>
      <c r="J58" s="1"/>
      <c r="K58" s="4"/>
      <c r="L58" s="1"/>
      <c r="M58" s="2"/>
      <c r="N58" s="3"/>
      <c r="O58" s="2"/>
      <c r="P58" s="1"/>
      <c r="Q58" s="2"/>
      <c r="R58" s="1"/>
      <c r="S58" s="2"/>
      <c r="T58" s="1"/>
      <c r="U58" s="2"/>
      <c r="V58" s="1"/>
      <c r="W58" s="2"/>
      <c r="X58" s="1"/>
      <c r="Y58" s="2"/>
      <c r="Z58" s="1"/>
      <c r="AA58" s="2"/>
      <c r="AB58" s="1"/>
      <c r="AC58" s="2"/>
      <c r="AD58" s="1"/>
      <c r="AE58" s="2"/>
      <c r="AF58" s="1"/>
      <c r="AG58" s="2"/>
      <c r="AH58" s="1"/>
      <c r="AI58" s="2"/>
      <c r="AJ58" s="1"/>
      <c r="AK58" s="2"/>
      <c r="AL58" s="1"/>
      <c r="AM58" s="2"/>
      <c r="AN58" s="1"/>
      <c r="AO58" s="2"/>
      <c r="AP58" s="1"/>
      <c r="AQ58" s="2"/>
      <c r="AR58" s="1"/>
      <c r="AS58" s="2"/>
      <c r="AT58" s="1"/>
      <c r="AU58" s="2"/>
      <c r="AV58" s="1"/>
      <c r="AW58" s="2"/>
      <c r="AX58" s="1"/>
      <c r="AY58" s="2"/>
      <c r="AZ58" s="1"/>
      <c r="BA58" s="2"/>
      <c r="BB58" s="1"/>
      <c r="BC58" s="2"/>
      <c r="BD58" s="1"/>
      <c r="BE58" s="2"/>
      <c r="BF58" s="1"/>
      <c r="BG58" s="2"/>
      <c r="BH58" s="1"/>
      <c r="BI58" s="2"/>
    </row>
    <row r="59" spans="1:61" x14ac:dyDescent="0.25">
      <c r="A59" s="10" t="s">
        <v>21</v>
      </c>
      <c r="B59" s="18">
        <v>2200</v>
      </c>
      <c r="D59" s="100"/>
      <c r="E59" s="100"/>
      <c r="F59" s="1" t="s">
        <v>1</v>
      </c>
      <c r="G59" s="2" t="s">
        <v>2</v>
      </c>
      <c r="H59" s="1" t="s">
        <v>1</v>
      </c>
      <c r="I59" s="2" t="s">
        <v>3</v>
      </c>
      <c r="J59" s="1" t="s">
        <v>1</v>
      </c>
      <c r="K59" s="2" t="s">
        <v>4</v>
      </c>
      <c r="L59" s="1" t="s">
        <v>1</v>
      </c>
      <c r="M59" s="2" t="s">
        <v>5</v>
      </c>
      <c r="N59" s="1" t="s">
        <v>1</v>
      </c>
      <c r="O59" s="2" t="s">
        <v>6</v>
      </c>
      <c r="P59" s="1" t="s">
        <v>1</v>
      </c>
      <c r="Q59" s="2" t="s">
        <v>7</v>
      </c>
      <c r="R59" s="1" t="s">
        <v>1</v>
      </c>
      <c r="S59" s="2" t="s">
        <v>8</v>
      </c>
      <c r="T59" s="1" t="s">
        <v>2</v>
      </c>
      <c r="U59" s="2" t="s">
        <v>3</v>
      </c>
      <c r="V59" s="1" t="s">
        <v>2</v>
      </c>
      <c r="W59" s="2" t="s">
        <v>4</v>
      </c>
      <c r="X59" s="1" t="s">
        <v>2</v>
      </c>
      <c r="Y59" s="2" t="s">
        <v>5</v>
      </c>
      <c r="Z59" s="1" t="s">
        <v>2</v>
      </c>
      <c r="AA59" s="2" t="s">
        <v>6</v>
      </c>
      <c r="AB59" s="1" t="s">
        <v>2</v>
      </c>
      <c r="AC59" s="2" t="s">
        <v>7</v>
      </c>
      <c r="AD59" s="1" t="s">
        <v>2</v>
      </c>
      <c r="AE59" s="2" t="s">
        <v>8</v>
      </c>
      <c r="AF59" s="1" t="s">
        <v>3</v>
      </c>
      <c r="AG59" s="2" t="s">
        <v>4</v>
      </c>
      <c r="AH59" s="1" t="s">
        <v>3</v>
      </c>
      <c r="AI59" s="2" t="s">
        <v>5</v>
      </c>
      <c r="AJ59" s="1" t="s">
        <v>3</v>
      </c>
      <c r="AK59" s="2" t="s">
        <v>6</v>
      </c>
      <c r="AL59" s="1" t="s">
        <v>3</v>
      </c>
      <c r="AM59" s="2" t="s">
        <v>7</v>
      </c>
      <c r="AN59" s="1" t="s">
        <v>3</v>
      </c>
      <c r="AO59" s="2" t="s">
        <v>8</v>
      </c>
      <c r="AP59" s="1" t="s">
        <v>4</v>
      </c>
      <c r="AQ59" s="2" t="s">
        <v>5</v>
      </c>
      <c r="AR59" s="1" t="s">
        <v>4</v>
      </c>
      <c r="AS59" s="2" t="s">
        <v>6</v>
      </c>
      <c r="AT59" s="1" t="s">
        <v>4</v>
      </c>
      <c r="AU59" s="2" t="s">
        <v>7</v>
      </c>
      <c r="AV59" s="1" t="s">
        <v>4</v>
      </c>
      <c r="AW59" s="2" t="s">
        <v>8</v>
      </c>
      <c r="AX59" s="1" t="s">
        <v>5</v>
      </c>
      <c r="AY59" s="2" t="s">
        <v>6</v>
      </c>
      <c r="AZ59" s="1" t="s">
        <v>5</v>
      </c>
      <c r="BA59" s="2" t="s">
        <v>7</v>
      </c>
      <c r="BB59" s="1" t="s">
        <v>5</v>
      </c>
      <c r="BC59" s="2" t="s">
        <v>8</v>
      </c>
      <c r="BD59" s="1" t="s">
        <v>6</v>
      </c>
      <c r="BE59" s="2" t="s">
        <v>7</v>
      </c>
      <c r="BF59" s="1" t="s">
        <v>6</v>
      </c>
      <c r="BG59" s="2" t="s">
        <v>8</v>
      </c>
      <c r="BH59" s="1" t="s">
        <v>7</v>
      </c>
      <c r="BI59" s="2" t="s">
        <v>8</v>
      </c>
    </row>
    <row r="60" spans="1:61" x14ac:dyDescent="0.25">
      <c r="A60" s="12" t="s">
        <v>1</v>
      </c>
      <c r="B60">
        <v>0.57022000000000006</v>
      </c>
      <c r="D60" t="s">
        <v>12</v>
      </c>
      <c r="E60" t="s">
        <v>1</v>
      </c>
      <c r="F60" s="1">
        <v>0.97774000000000005</v>
      </c>
      <c r="G60">
        <v>0.67079</v>
      </c>
      <c r="H60" s="1">
        <v>0.97774000000000005</v>
      </c>
      <c r="I60">
        <v>0.34055999999999997</v>
      </c>
      <c r="J60" s="1">
        <v>0.97774000000000005</v>
      </c>
      <c r="K60">
        <v>0.43752000000000002</v>
      </c>
      <c r="L60" s="1">
        <v>0.97774000000000005</v>
      </c>
      <c r="M60">
        <v>0.56323000000000001</v>
      </c>
      <c r="N60" s="1">
        <v>0.97774000000000005</v>
      </c>
      <c r="O60">
        <v>0.50120000000000009</v>
      </c>
      <c r="P60" s="1">
        <v>0.97774000000000005</v>
      </c>
      <c r="Q60">
        <v>0.66838999999999993</v>
      </c>
      <c r="R60" s="1">
        <v>0.97774000000000005</v>
      </c>
      <c r="S60">
        <v>0.53477000000000008</v>
      </c>
      <c r="T60" s="1">
        <v>0.67079</v>
      </c>
      <c r="U60">
        <v>0.34055999999999997</v>
      </c>
      <c r="V60" s="1">
        <v>0.67079</v>
      </c>
      <c r="W60">
        <v>0.43752000000000002</v>
      </c>
      <c r="X60" s="1">
        <v>0.67079</v>
      </c>
      <c r="Y60">
        <v>0.56323000000000001</v>
      </c>
      <c r="Z60" s="1">
        <v>0.67079</v>
      </c>
      <c r="AA60">
        <v>0.50120000000000009</v>
      </c>
      <c r="AB60" s="1">
        <v>0.67079</v>
      </c>
      <c r="AC60">
        <v>0.66838999999999993</v>
      </c>
      <c r="AD60" s="1">
        <v>0.67079</v>
      </c>
      <c r="AE60">
        <v>0.53477000000000008</v>
      </c>
      <c r="AF60" s="1">
        <v>0.34055999999999997</v>
      </c>
      <c r="AG60">
        <v>0.43752000000000002</v>
      </c>
      <c r="AH60" s="1">
        <v>0.34055999999999997</v>
      </c>
      <c r="AI60">
        <v>0.56323000000000001</v>
      </c>
      <c r="AJ60" s="1">
        <v>0.34055999999999997</v>
      </c>
      <c r="AK60">
        <v>0.50120000000000009</v>
      </c>
      <c r="AL60" s="1">
        <v>0.34055999999999997</v>
      </c>
      <c r="AM60">
        <v>0.66838999999999993</v>
      </c>
      <c r="AN60" s="1">
        <v>0.34055999999999997</v>
      </c>
      <c r="AO60">
        <v>0.53477000000000008</v>
      </c>
      <c r="AP60" s="1">
        <v>0.43752000000000002</v>
      </c>
      <c r="AQ60">
        <v>0.56323000000000001</v>
      </c>
      <c r="AR60" s="1">
        <v>0.43752000000000002</v>
      </c>
      <c r="AS60">
        <v>0.50120000000000009</v>
      </c>
      <c r="AT60" s="1">
        <v>0.43752000000000002</v>
      </c>
      <c r="AU60">
        <v>0.66838999999999993</v>
      </c>
      <c r="AV60" s="1">
        <v>0.43752000000000002</v>
      </c>
      <c r="AW60">
        <v>0.53477000000000008</v>
      </c>
      <c r="AX60" s="1">
        <v>0.56323000000000001</v>
      </c>
      <c r="AY60">
        <v>0.50120000000000009</v>
      </c>
      <c r="AZ60" s="1">
        <v>0.56323000000000001</v>
      </c>
      <c r="BA60">
        <v>0.66838999999999993</v>
      </c>
      <c r="BB60" s="1">
        <v>0.56323000000000001</v>
      </c>
      <c r="BC60">
        <v>0.53477000000000008</v>
      </c>
      <c r="BD60" s="1">
        <v>0.50120000000000009</v>
      </c>
      <c r="BE60">
        <v>0.66838999999999993</v>
      </c>
      <c r="BF60" s="1">
        <v>0.50120000000000009</v>
      </c>
      <c r="BG60">
        <v>0.53477000000000008</v>
      </c>
      <c r="BH60" s="1">
        <v>0.66838999999999993</v>
      </c>
      <c r="BI60">
        <v>0.53477000000000008</v>
      </c>
    </row>
    <row r="61" spans="1:61" x14ac:dyDescent="0.25">
      <c r="A61" s="12" t="s">
        <v>2</v>
      </c>
      <c r="B61">
        <v>0.55703999999999998</v>
      </c>
      <c r="E61" s="6"/>
      <c r="F61" s="1" t="s">
        <v>1</v>
      </c>
      <c r="G61" s="2" t="s">
        <v>2</v>
      </c>
      <c r="H61" s="1" t="s">
        <v>1</v>
      </c>
      <c r="I61" s="2" t="s">
        <v>3</v>
      </c>
      <c r="J61" s="1" t="s">
        <v>1</v>
      </c>
      <c r="K61" s="2" t="s">
        <v>4</v>
      </c>
      <c r="L61" s="1" t="s">
        <v>1</v>
      </c>
      <c r="M61" s="2" t="s">
        <v>5</v>
      </c>
      <c r="N61" s="1" t="s">
        <v>1</v>
      </c>
      <c r="O61" s="2" t="s">
        <v>6</v>
      </c>
      <c r="P61" s="1" t="s">
        <v>1</v>
      </c>
      <c r="Q61" s="2" t="s">
        <v>7</v>
      </c>
      <c r="R61" s="1" t="s">
        <v>1</v>
      </c>
      <c r="S61" s="2" t="s">
        <v>8</v>
      </c>
      <c r="T61" s="1" t="s">
        <v>2</v>
      </c>
      <c r="U61" s="2" t="s">
        <v>3</v>
      </c>
      <c r="V61" s="1" t="s">
        <v>2</v>
      </c>
      <c r="W61" s="2" t="s">
        <v>4</v>
      </c>
      <c r="X61" s="1" t="s">
        <v>2</v>
      </c>
      <c r="Y61" s="2" t="s">
        <v>5</v>
      </c>
      <c r="Z61" s="1" t="s">
        <v>2</v>
      </c>
      <c r="AA61" s="2" t="s">
        <v>6</v>
      </c>
      <c r="AB61" s="1" t="s">
        <v>2</v>
      </c>
      <c r="AC61" s="2" t="s">
        <v>7</v>
      </c>
      <c r="AD61" s="1" t="s">
        <v>2</v>
      </c>
      <c r="AE61" s="2" t="s">
        <v>8</v>
      </c>
      <c r="AF61" s="1" t="s">
        <v>3</v>
      </c>
      <c r="AG61" s="2" t="s">
        <v>4</v>
      </c>
      <c r="AH61" s="1" t="s">
        <v>3</v>
      </c>
      <c r="AI61" s="2" t="s">
        <v>5</v>
      </c>
      <c r="AJ61" s="1" t="s">
        <v>3</v>
      </c>
      <c r="AK61" s="2" t="s">
        <v>6</v>
      </c>
      <c r="AL61" s="1" t="s">
        <v>3</v>
      </c>
      <c r="AM61" s="2" t="s">
        <v>7</v>
      </c>
      <c r="AN61" s="1" t="s">
        <v>3</v>
      </c>
      <c r="AO61" s="2" t="s">
        <v>8</v>
      </c>
      <c r="AP61" s="1" t="s">
        <v>4</v>
      </c>
      <c r="AQ61" s="2" t="s">
        <v>5</v>
      </c>
      <c r="AR61" s="1" t="s">
        <v>4</v>
      </c>
      <c r="AS61" s="2" t="s">
        <v>6</v>
      </c>
      <c r="AT61" s="1" t="s">
        <v>4</v>
      </c>
      <c r="AU61" s="2" t="s">
        <v>7</v>
      </c>
      <c r="AV61" s="1" t="s">
        <v>4</v>
      </c>
      <c r="AW61" s="2" t="s">
        <v>8</v>
      </c>
      <c r="AX61" s="1" t="s">
        <v>5</v>
      </c>
      <c r="AY61" s="2" t="s">
        <v>6</v>
      </c>
      <c r="AZ61" s="1" t="s">
        <v>5</v>
      </c>
      <c r="BA61" s="2" t="s">
        <v>7</v>
      </c>
      <c r="BB61" s="1" t="s">
        <v>5</v>
      </c>
      <c r="BC61" s="2" t="s">
        <v>8</v>
      </c>
      <c r="BD61" s="1" t="s">
        <v>6</v>
      </c>
      <c r="BE61" s="2" t="s">
        <v>7</v>
      </c>
      <c r="BF61" s="1" t="s">
        <v>6</v>
      </c>
      <c r="BG61" s="2" t="s">
        <v>8</v>
      </c>
      <c r="BH61" s="1" t="s">
        <v>7</v>
      </c>
      <c r="BI61" s="2" t="s">
        <v>8</v>
      </c>
    </row>
    <row r="62" spans="1:61" x14ac:dyDescent="0.25">
      <c r="A62" s="12" t="s">
        <v>3</v>
      </c>
      <c r="B62">
        <v>0.5698899999999999</v>
      </c>
      <c r="D62" t="s">
        <v>12</v>
      </c>
      <c r="E62" t="s">
        <v>2</v>
      </c>
      <c r="F62" s="1">
        <v>0.79581999999999986</v>
      </c>
      <c r="G62">
        <v>0.98040000000000005</v>
      </c>
      <c r="H62" s="1">
        <v>0.79581999999999986</v>
      </c>
      <c r="I62">
        <v>0.67240999999999995</v>
      </c>
      <c r="J62" s="1">
        <v>0.79581999999999986</v>
      </c>
      <c r="K62">
        <v>0.64064999999999994</v>
      </c>
      <c r="L62" s="1">
        <v>0.79581999999999986</v>
      </c>
      <c r="M62">
        <v>0.74934999999999996</v>
      </c>
      <c r="N62" s="1">
        <v>0.79581999999999986</v>
      </c>
      <c r="O62">
        <v>0.56464999999999999</v>
      </c>
      <c r="P62" s="1">
        <v>0.79581999999999986</v>
      </c>
      <c r="Q62">
        <v>0.67618</v>
      </c>
      <c r="R62" s="1">
        <v>0.79581999999999986</v>
      </c>
      <c r="S62">
        <v>0.37431000000000003</v>
      </c>
      <c r="T62" s="1">
        <v>0.98040000000000005</v>
      </c>
      <c r="U62">
        <v>0.67240999999999995</v>
      </c>
      <c r="V62" s="1">
        <v>0.98040000000000005</v>
      </c>
      <c r="W62">
        <v>0.64064999999999994</v>
      </c>
      <c r="X62" s="1">
        <v>0.98040000000000005</v>
      </c>
      <c r="Y62">
        <v>0.74934999999999996</v>
      </c>
      <c r="Z62" s="1">
        <v>0.98040000000000005</v>
      </c>
      <c r="AA62">
        <v>0.56464999999999999</v>
      </c>
      <c r="AB62" s="1">
        <v>0.98040000000000005</v>
      </c>
      <c r="AC62">
        <v>0.67618</v>
      </c>
      <c r="AD62" s="1">
        <v>0.98040000000000005</v>
      </c>
      <c r="AE62">
        <v>0.37431000000000003</v>
      </c>
      <c r="AF62" s="1">
        <v>0.67240999999999995</v>
      </c>
      <c r="AG62">
        <v>0.64064999999999994</v>
      </c>
      <c r="AH62" s="1">
        <v>0.67240999999999995</v>
      </c>
      <c r="AI62">
        <v>0.74934999999999996</v>
      </c>
      <c r="AJ62" s="1">
        <v>0.67240999999999995</v>
      </c>
      <c r="AK62">
        <v>0.56464999999999999</v>
      </c>
      <c r="AL62" s="1">
        <v>0.67240999999999995</v>
      </c>
      <c r="AM62">
        <v>0.67618</v>
      </c>
      <c r="AN62" s="1">
        <v>0.67240999999999995</v>
      </c>
      <c r="AO62">
        <v>0.37431000000000003</v>
      </c>
      <c r="AP62" s="1">
        <v>0.64064999999999994</v>
      </c>
      <c r="AQ62">
        <v>0.74934999999999996</v>
      </c>
      <c r="AR62" s="1">
        <v>0.64064999999999994</v>
      </c>
      <c r="AS62">
        <v>0.56464999999999999</v>
      </c>
      <c r="AT62" s="1">
        <v>0.64064999999999994</v>
      </c>
      <c r="AU62">
        <v>0.67618</v>
      </c>
      <c r="AV62" s="1">
        <v>0.64064999999999994</v>
      </c>
      <c r="AW62">
        <v>0.37431000000000003</v>
      </c>
      <c r="AX62" s="1">
        <v>0.74934999999999996</v>
      </c>
      <c r="AY62">
        <v>0.56464999999999999</v>
      </c>
      <c r="AZ62" s="1">
        <v>0.74934999999999996</v>
      </c>
      <c r="BA62">
        <v>0.67618</v>
      </c>
      <c r="BB62" s="1">
        <v>0.74934999999999996</v>
      </c>
      <c r="BC62">
        <v>0.37431000000000003</v>
      </c>
      <c r="BD62" s="1">
        <v>0.56464999999999999</v>
      </c>
      <c r="BE62">
        <v>0.67618</v>
      </c>
      <c r="BF62" s="1">
        <v>0.56464999999999999</v>
      </c>
      <c r="BG62">
        <v>0.37431000000000003</v>
      </c>
      <c r="BH62" s="1">
        <v>0.67618</v>
      </c>
      <c r="BI62">
        <v>0.37431000000000003</v>
      </c>
    </row>
    <row r="63" spans="1:61" x14ac:dyDescent="0.25">
      <c r="A63" s="12" t="s">
        <v>10</v>
      </c>
      <c r="B63">
        <v>0.71155000000000002</v>
      </c>
      <c r="E63" s="6"/>
      <c r="F63" s="1" t="s">
        <v>1</v>
      </c>
      <c r="G63" s="2" t="s">
        <v>2</v>
      </c>
      <c r="H63" s="1" t="s">
        <v>1</v>
      </c>
      <c r="I63" s="2" t="s">
        <v>3</v>
      </c>
      <c r="J63" s="1" t="s">
        <v>1</v>
      </c>
      <c r="K63" s="2" t="s">
        <v>4</v>
      </c>
      <c r="L63" s="1" t="s">
        <v>1</v>
      </c>
      <c r="M63" s="2" t="s">
        <v>5</v>
      </c>
      <c r="N63" s="1" t="s">
        <v>1</v>
      </c>
      <c r="O63" s="2" t="s">
        <v>6</v>
      </c>
      <c r="P63" s="1" t="s">
        <v>1</v>
      </c>
      <c r="Q63" s="2" t="s">
        <v>7</v>
      </c>
      <c r="R63" s="1" t="s">
        <v>1</v>
      </c>
      <c r="S63" s="2" t="s">
        <v>8</v>
      </c>
      <c r="T63" s="1" t="s">
        <v>2</v>
      </c>
      <c r="U63" s="2" t="s">
        <v>3</v>
      </c>
      <c r="V63" s="1" t="s">
        <v>2</v>
      </c>
      <c r="W63" s="2" t="s">
        <v>4</v>
      </c>
      <c r="X63" s="1" t="s">
        <v>2</v>
      </c>
      <c r="Y63" s="2" t="s">
        <v>5</v>
      </c>
      <c r="Z63" s="1" t="s">
        <v>2</v>
      </c>
      <c r="AA63" s="2" t="s">
        <v>6</v>
      </c>
      <c r="AB63" s="1" t="s">
        <v>2</v>
      </c>
      <c r="AC63" s="2" t="s">
        <v>7</v>
      </c>
      <c r="AD63" s="1" t="s">
        <v>2</v>
      </c>
      <c r="AE63" s="2" t="s">
        <v>8</v>
      </c>
      <c r="AF63" s="1" t="s">
        <v>3</v>
      </c>
      <c r="AG63" s="2" t="s">
        <v>4</v>
      </c>
      <c r="AH63" s="1" t="s">
        <v>3</v>
      </c>
      <c r="AI63" s="2" t="s">
        <v>5</v>
      </c>
      <c r="AJ63" s="1" t="s">
        <v>3</v>
      </c>
      <c r="AK63" s="2" t="s">
        <v>6</v>
      </c>
      <c r="AL63" s="1" t="s">
        <v>3</v>
      </c>
      <c r="AM63" s="2" t="s">
        <v>7</v>
      </c>
      <c r="AN63" s="1" t="s">
        <v>3</v>
      </c>
      <c r="AO63" s="2" t="s">
        <v>8</v>
      </c>
      <c r="AP63" s="1" t="s">
        <v>4</v>
      </c>
      <c r="AQ63" s="2" t="s">
        <v>5</v>
      </c>
      <c r="AR63" s="1" t="s">
        <v>4</v>
      </c>
      <c r="AS63" s="2" t="s">
        <v>6</v>
      </c>
      <c r="AT63" s="1" t="s">
        <v>4</v>
      </c>
      <c r="AU63" s="2" t="s">
        <v>7</v>
      </c>
      <c r="AV63" s="1" t="s">
        <v>4</v>
      </c>
      <c r="AW63" s="2" t="s">
        <v>8</v>
      </c>
      <c r="AX63" s="1" t="s">
        <v>5</v>
      </c>
      <c r="AY63" s="2" t="s">
        <v>6</v>
      </c>
      <c r="AZ63" s="1" t="s">
        <v>5</v>
      </c>
      <c r="BA63" s="2" t="s">
        <v>7</v>
      </c>
      <c r="BB63" s="1" t="s">
        <v>5</v>
      </c>
      <c r="BC63" s="2" t="s">
        <v>8</v>
      </c>
      <c r="BD63" s="1" t="s">
        <v>6</v>
      </c>
      <c r="BE63" s="2" t="s">
        <v>7</v>
      </c>
      <c r="BF63" s="1" t="s">
        <v>6</v>
      </c>
      <c r="BG63" s="2" t="s">
        <v>8</v>
      </c>
      <c r="BH63" s="1" t="s">
        <v>7</v>
      </c>
      <c r="BI63" s="2" t="s">
        <v>8</v>
      </c>
    </row>
    <row r="64" spans="1:61" x14ac:dyDescent="0.25">
      <c r="A64" s="12" t="s">
        <v>11</v>
      </c>
      <c r="B64">
        <v>0.66352999999999995</v>
      </c>
      <c r="D64" t="s">
        <v>12</v>
      </c>
      <c r="E64" t="s">
        <v>3</v>
      </c>
      <c r="F64" s="1">
        <v>0.45314000000000004</v>
      </c>
      <c r="G64">
        <v>0.67244000000000004</v>
      </c>
      <c r="H64" s="1">
        <v>0.45314000000000004</v>
      </c>
      <c r="I64">
        <v>0.92845000000000011</v>
      </c>
      <c r="J64" s="1">
        <v>0.45314000000000004</v>
      </c>
      <c r="K64">
        <v>0.77045000000000008</v>
      </c>
      <c r="L64" s="1">
        <v>0.45314000000000004</v>
      </c>
      <c r="M64">
        <v>0.68189000000000011</v>
      </c>
      <c r="N64" s="1">
        <v>0.45314000000000004</v>
      </c>
      <c r="O64">
        <v>0.45708000000000004</v>
      </c>
      <c r="P64" s="1">
        <v>0.45314000000000004</v>
      </c>
      <c r="Q64">
        <v>0.58534999999999993</v>
      </c>
      <c r="R64" s="1">
        <v>0.45314000000000004</v>
      </c>
      <c r="S64">
        <v>0.27302999999999999</v>
      </c>
      <c r="T64" s="1">
        <v>0.67244000000000004</v>
      </c>
      <c r="U64">
        <v>0.92845000000000011</v>
      </c>
      <c r="V64" s="1">
        <v>0.67244000000000004</v>
      </c>
      <c r="W64">
        <v>0.77045000000000008</v>
      </c>
      <c r="X64" s="1">
        <v>0.67244000000000004</v>
      </c>
      <c r="Y64">
        <v>0.68189000000000011</v>
      </c>
      <c r="Z64" s="1">
        <v>0.67244000000000004</v>
      </c>
      <c r="AA64">
        <v>0.45708000000000004</v>
      </c>
      <c r="AB64" s="1">
        <v>0.67244000000000004</v>
      </c>
      <c r="AC64">
        <v>0.58534999999999993</v>
      </c>
      <c r="AD64" s="1">
        <v>0.67244000000000004</v>
      </c>
      <c r="AE64">
        <v>0.27302999999999999</v>
      </c>
      <c r="AF64" s="1">
        <v>0.92845000000000011</v>
      </c>
      <c r="AG64">
        <v>0.77045000000000008</v>
      </c>
      <c r="AH64" s="1">
        <v>0.92845000000000011</v>
      </c>
      <c r="AI64">
        <v>0.68189000000000011</v>
      </c>
      <c r="AJ64" s="1">
        <v>0.92845000000000011</v>
      </c>
      <c r="AK64">
        <v>0.45708000000000004</v>
      </c>
      <c r="AL64" s="1">
        <v>0.92845000000000011</v>
      </c>
      <c r="AM64">
        <v>0.58534999999999993</v>
      </c>
      <c r="AN64" s="1">
        <v>0.92845000000000011</v>
      </c>
      <c r="AO64">
        <v>0.27302999999999999</v>
      </c>
      <c r="AP64" s="1">
        <v>0.77045000000000008</v>
      </c>
      <c r="AQ64">
        <v>0.68189000000000011</v>
      </c>
      <c r="AR64" s="1">
        <v>0.77045000000000008</v>
      </c>
      <c r="AS64">
        <v>0.45708000000000004</v>
      </c>
      <c r="AT64" s="1">
        <v>0.77045000000000008</v>
      </c>
      <c r="AU64">
        <v>0.58534999999999993</v>
      </c>
      <c r="AV64" s="1">
        <v>0.77045000000000008</v>
      </c>
      <c r="AW64">
        <v>0.27302999999999999</v>
      </c>
      <c r="AX64" s="1">
        <v>0.68189000000000011</v>
      </c>
      <c r="AY64">
        <v>0.45708000000000004</v>
      </c>
      <c r="AZ64" s="1">
        <v>0.68189000000000011</v>
      </c>
      <c r="BA64">
        <v>0.58534999999999993</v>
      </c>
      <c r="BB64" s="1">
        <v>0.68189000000000011</v>
      </c>
      <c r="BC64">
        <v>0.27302999999999999</v>
      </c>
      <c r="BD64" s="1">
        <v>0.45708000000000004</v>
      </c>
      <c r="BE64">
        <v>0.58534999999999993</v>
      </c>
      <c r="BF64" s="1">
        <v>0.45708000000000004</v>
      </c>
      <c r="BG64">
        <v>0.27302999999999999</v>
      </c>
      <c r="BH64" s="1">
        <v>0.58534999999999993</v>
      </c>
      <c r="BI64">
        <v>0.27302999999999999</v>
      </c>
    </row>
    <row r="65" spans="1:61" x14ac:dyDescent="0.25">
      <c r="A65" s="11" t="s">
        <v>6</v>
      </c>
      <c r="B65">
        <v>0.97331999999999996</v>
      </c>
      <c r="E65" s="6"/>
      <c r="F65" s="1" t="s">
        <v>1</v>
      </c>
      <c r="G65" s="2" t="s">
        <v>2</v>
      </c>
      <c r="H65" s="1" t="s">
        <v>1</v>
      </c>
      <c r="I65" s="2" t="s">
        <v>3</v>
      </c>
      <c r="J65" s="1" t="s">
        <v>1</v>
      </c>
      <c r="K65" s="2" t="s">
        <v>4</v>
      </c>
      <c r="L65" s="1" t="s">
        <v>1</v>
      </c>
      <c r="M65" s="2" t="s">
        <v>5</v>
      </c>
      <c r="N65" s="1" t="s">
        <v>1</v>
      </c>
      <c r="O65" s="2" t="s">
        <v>6</v>
      </c>
      <c r="P65" s="1" t="s">
        <v>1</v>
      </c>
      <c r="Q65" s="2" t="s">
        <v>7</v>
      </c>
      <c r="R65" s="1" t="s">
        <v>1</v>
      </c>
      <c r="S65" s="2" t="s">
        <v>8</v>
      </c>
      <c r="T65" s="1" t="s">
        <v>2</v>
      </c>
      <c r="U65" s="2" t="s">
        <v>3</v>
      </c>
      <c r="V65" s="1" t="s">
        <v>2</v>
      </c>
      <c r="W65" s="2" t="s">
        <v>4</v>
      </c>
      <c r="X65" s="1" t="s">
        <v>2</v>
      </c>
      <c r="Y65" s="2" t="s">
        <v>5</v>
      </c>
      <c r="Z65" s="1" t="s">
        <v>2</v>
      </c>
      <c r="AA65" s="2" t="s">
        <v>6</v>
      </c>
      <c r="AB65" s="1" t="s">
        <v>2</v>
      </c>
      <c r="AC65" s="2" t="s">
        <v>7</v>
      </c>
      <c r="AD65" s="1" t="s">
        <v>2</v>
      </c>
      <c r="AE65" s="2" t="s">
        <v>8</v>
      </c>
      <c r="AF65" s="1" t="s">
        <v>3</v>
      </c>
      <c r="AG65" s="2" t="s">
        <v>4</v>
      </c>
      <c r="AH65" s="1" t="s">
        <v>3</v>
      </c>
      <c r="AI65" s="2" t="s">
        <v>5</v>
      </c>
      <c r="AJ65" s="1" t="s">
        <v>3</v>
      </c>
      <c r="AK65" s="2" t="s">
        <v>6</v>
      </c>
      <c r="AL65" s="1" t="s">
        <v>3</v>
      </c>
      <c r="AM65" s="2" t="s">
        <v>7</v>
      </c>
      <c r="AN65" s="1" t="s">
        <v>3</v>
      </c>
      <c r="AO65" s="2" t="s">
        <v>8</v>
      </c>
      <c r="AP65" s="1" t="s">
        <v>4</v>
      </c>
      <c r="AQ65" s="2" t="s">
        <v>5</v>
      </c>
      <c r="AR65" s="1" t="s">
        <v>4</v>
      </c>
      <c r="AS65" s="2" t="s">
        <v>6</v>
      </c>
      <c r="AT65" s="1" t="s">
        <v>4</v>
      </c>
      <c r="AU65" s="2" t="s">
        <v>7</v>
      </c>
      <c r="AV65" s="1" t="s">
        <v>4</v>
      </c>
      <c r="AW65" s="2" t="s">
        <v>8</v>
      </c>
      <c r="AX65" s="1" t="s">
        <v>5</v>
      </c>
      <c r="AY65" s="2" t="s">
        <v>6</v>
      </c>
      <c r="AZ65" s="1" t="s">
        <v>5</v>
      </c>
      <c r="BA65" s="2" t="s">
        <v>7</v>
      </c>
      <c r="BB65" s="1" t="s">
        <v>5</v>
      </c>
      <c r="BC65" s="2" t="s">
        <v>8</v>
      </c>
      <c r="BD65" s="1" t="s">
        <v>6</v>
      </c>
      <c r="BE65" s="2" t="s">
        <v>7</v>
      </c>
      <c r="BF65" s="1" t="s">
        <v>6</v>
      </c>
      <c r="BG65" s="2" t="s">
        <v>8</v>
      </c>
      <c r="BH65" s="1" t="s">
        <v>7</v>
      </c>
      <c r="BI65" s="2" t="s">
        <v>8</v>
      </c>
    </row>
    <row r="66" spans="1:61" x14ac:dyDescent="0.25">
      <c r="A66" s="12" t="s">
        <v>7</v>
      </c>
      <c r="B66">
        <v>0.53459999999999996</v>
      </c>
      <c r="D66" t="s">
        <v>12</v>
      </c>
      <c r="E66" t="s">
        <v>4</v>
      </c>
      <c r="F66" s="1">
        <v>0.70369999999999999</v>
      </c>
      <c r="G66">
        <v>0.55711999999999995</v>
      </c>
      <c r="H66" s="1">
        <v>0.70369999999999999</v>
      </c>
      <c r="I66">
        <v>0.42230000000000001</v>
      </c>
      <c r="J66" s="1">
        <v>0.70369999999999999</v>
      </c>
      <c r="K66">
        <v>0.91139000000000014</v>
      </c>
      <c r="L66" s="1">
        <v>0.70369999999999999</v>
      </c>
      <c r="M66">
        <v>0.86853000000000002</v>
      </c>
      <c r="N66" s="1">
        <v>0.70369999999999999</v>
      </c>
      <c r="O66">
        <v>0.62707000000000002</v>
      </c>
      <c r="P66" s="1">
        <v>0.70369999999999999</v>
      </c>
      <c r="Q66">
        <v>0.78552000000000011</v>
      </c>
      <c r="R66" s="1">
        <v>0.70369999999999999</v>
      </c>
      <c r="S66">
        <v>0.17713999999999999</v>
      </c>
      <c r="T66" s="1">
        <v>0.55711999999999995</v>
      </c>
      <c r="U66">
        <v>0.42230000000000001</v>
      </c>
      <c r="V66" s="1">
        <v>0.55711999999999995</v>
      </c>
      <c r="W66">
        <v>0.91139000000000014</v>
      </c>
      <c r="X66" s="1">
        <v>0.55711999999999995</v>
      </c>
      <c r="Y66">
        <v>0.86853000000000002</v>
      </c>
      <c r="Z66" s="1">
        <v>0.55711999999999995</v>
      </c>
      <c r="AA66">
        <v>0.62707000000000002</v>
      </c>
      <c r="AB66" s="1">
        <v>0.55711999999999995</v>
      </c>
      <c r="AC66">
        <v>0.78552000000000011</v>
      </c>
      <c r="AD66" s="1">
        <v>0.55711999999999995</v>
      </c>
      <c r="AE66">
        <v>0.17713999999999999</v>
      </c>
      <c r="AF66" s="1">
        <v>0.42230000000000001</v>
      </c>
      <c r="AG66">
        <v>0.91139000000000014</v>
      </c>
      <c r="AH66" s="1">
        <v>0.42230000000000001</v>
      </c>
      <c r="AI66">
        <v>0.86853000000000002</v>
      </c>
      <c r="AJ66" s="1">
        <v>0.42230000000000001</v>
      </c>
      <c r="AK66">
        <v>0.62707000000000002</v>
      </c>
      <c r="AL66" s="1">
        <v>0.42230000000000001</v>
      </c>
      <c r="AM66">
        <v>0.78552000000000011</v>
      </c>
      <c r="AN66" s="1">
        <v>0.42230000000000001</v>
      </c>
      <c r="AO66">
        <v>0.17713999999999999</v>
      </c>
      <c r="AP66" s="1">
        <v>0.91139000000000014</v>
      </c>
      <c r="AQ66">
        <v>0.86853000000000002</v>
      </c>
      <c r="AR66" s="1">
        <v>0.91139000000000014</v>
      </c>
      <c r="AS66">
        <v>0.62707000000000002</v>
      </c>
      <c r="AT66" s="1">
        <v>0.91139000000000014</v>
      </c>
      <c r="AU66">
        <v>0.78552000000000011</v>
      </c>
      <c r="AV66" s="1">
        <v>0.91139000000000014</v>
      </c>
      <c r="AW66">
        <v>0.17713999999999999</v>
      </c>
      <c r="AX66" s="1">
        <v>0.86853000000000002</v>
      </c>
      <c r="AY66">
        <v>0.62707000000000002</v>
      </c>
      <c r="AZ66" s="1">
        <v>0.86853000000000002</v>
      </c>
      <c r="BA66">
        <v>0.78552000000000011</v>
      </c>
      <c r="BB66" s="1">
        <v>0.86853000000000002</v>
      </c>
      <c r="BC66">
        <v>0.17713999999999999</v>
      </c>
      <c r="BD66" s="1">
        <v>0.62707000000000002</v>
      </c>
      <c r="BE66">
        <v>0.78552000000000011</v>
      </c>
      <c r="BF66" s="1">
        <v>0.62707000000000002</v>
      </c>
      <c r="BG66">
        <v>0.17713999999999999</v>
      </c>
      <c r="BH66" s="1">
        <v>0.78552000000000011</v>
      </c>
      <c r="BI66">
        <v>0.17713999999999999</v>
      </c>
    </row>
    <row r="67" spans="1:61" x14ac:dyDescent="0.25">
      <c r="A67" s="12" t="s">
        <v>8</v>
      </c>
      <c r="B67">
        <v>0.17328000000000005</v>
      </c>
      <c r="E67" s="6"/>
      <c r="F67" s="1" t="s">
        <v>1</v>
      </c>
      <c r="G67" s="2" t="s">
        <v>2</v>
      </c>
      <c r="H67" s="1" t="s">
        <v>1</v>
      </c>
      <c r="I67" s="2" t="s">
        <v>3</v>
      </c>
      <c r="J67" s="1" t="s">
        <v>1</v>
      </c>
      <c r="K67" s="2" t="s">
        <v>4</v>
      </c>
      <c r="L67" s="1" t="s">
        <v>1</v>
      </c>
      <c r="M67" s="2" t="s">
        <v>5</v>
      </c>
      <c r="N67" s="1" t="s">
        <v>1</v>
      </c>
      <c r="O67" s="2" t="s">
        <v>6</v>
      </c>
      <c r="P67" s="1" t="s">
        <v>1</v>
      </c>
      <c r="Q67" s="2" t="s">
        <v>7</v>
      </c>
      <c r="R67" s="1" t="s">
        <v>1</v>
      </c>
      <c r="S67" s="2" t="s">
        <v>8</v>
      </c>
      <c r="T67" s="1" t="s">
        <v>2</v>
      </c>
      <c r="U67" s="2" t="s">
        <v>3</v>
      </c>
      <c r="V67" s="1" t="s">
        <v>2</v>
      </c>
      <c r="W67" s="2" t="s">
        <v>4</v>
      </c>
      <c r="X67" s="1" t="s">
        <v>2</v>
      </c>
      <c r="Y67" s="2" t="s">
        <v>5</v>
      </c>
      <c r="Z67" s="1" t="s">
        <v>2</v>
      </c>
      <c r="AA67" s="2" t="s">
        <v>6</v>
      </c>
      <c r="AB67" s="1" t="s">
        <v>2</v>
      </c>
      <c r="AC67" s="2" t="s">
        <v>7</v>
      </c>
      <c r="AD67" s="1" t="s">
        <v>2</v>
      </c>
      <c r="AE67" s="2" t="s">
        <v>8</v>
      </c>
      <c r="AF67" s="1" t="s">
        <v>3</v>
      </c>
      <c r="AG67" s="2" t="s">
        <v>4</v>
      </c>
      <c r="AH67" s="1" t="s">
        <v>3</v>
      </c>
      <c r="AI67" s="2" t="s">
        <v>5</v>
      </c>
      <c r="AJ67" s="1" t="s">
        <v>3</v>
      </c>
      <c r="AK67" s="2" t="s">
        <v>6</v>
      </c>
      <c r="AL67" s="1" t="s">
        <v>3</v>
      </c>
      <c r="AM67" s="2" t="s">
        <v>7</v>
      </c>
      <c r="AN67" s="1" t="s">
        <v>3</v>
      </c>
      <c r="AO67" s="2" t="s">
        <v>8</v>
      </c>
      <c r="AP67" s="1" t="s">
        <v>4</v>
      </c>
      <c r="AQ67" s="2" t="s">
        <v>5</v>
      </c>
      <c r="AR67" s="1" t="s">
        <v>4</v>
      </c>
      <c r="AS67" s="2" t="s">
        <v>6</v>
      </c>
      <c r="AT67" s="1" t="s">
        <v>4</v>
      </c>
      <c r="AU67" s="2" t="s">
        <v>7</v>
      </c>
      <c r="AV67" s="1" t="s">
        <v>4</v>
      </c>
      <c r="AW67" s="2" t="s">
        <v>8</v>
      </c>
      <c r="AX67" s="1" t="s">
        <v>5</v>
      </c>
      <c r="AY67" s="2" t="s">
        <v>6</v>
      </c>
      <c r="AZ67" s="1" t="s">
        <v>5</v>
      </c>
      <c r="BA67" s="2" t="s">
        <v>7</v>
      </c>
      <c r="BB67" s="1" t="s">
        <v>5</v>
      </c>
      <c r="BC67" s="2" t="s">
        <v>8</v>
      </c>
      <c r="BD67" s="1" t="s">
        <v>6</v>
      </c>
      <c r="BE67" s="2" t="s">
        <v>7</v>
      </c>
      <c r="BF67" s="1" t="s">
        <v>6</v>
      </c>
      <c r="BG67" s="2" t="s">
        <v>8</v>
      </c>
      <c r="BH67" s="1" t="s">
        <v>7</v>
      </c>
      <c r="BI67" s="2" t="s">
        <v>8</v>
      </c>
    </row>
    <row r="68" spans="1:61" x14ac:dyDescent="0.25">
      <c r="A68" s="8">
        <v>100</v>
      </c>
      <c r="B68" s="17">
        <v>1</v>
      </c>
      <c r="D68" t="s">
        <v>12</v>
      </c>
      <c r="E68" t="s">
        <v>5</v>
      </c>
      <c r="F68" s="1">
        <v>0.68071000000000004</v>
      </c>
      <c r="G68">
        <v>0.64166999999999996</v>
      </c>
      <c r="H68" s="1">
        <v>0.68071000000000004</v>
      </c>
      <c r="I68">
        <v>0.43484</v>
      </c>
      <c r="J68" s="1">
        <v>0.68071000000000004</v>
      </c>
      <c r="K68">
        <v>0.71374999999999988</v>
      </c>
      <c r="L68" s="1">
        <v>0.68071000000000004</v>
      </c>
      <c r="M68">
        <v>0.97934999999999994</v>
      </c>
      <c r="N68" s="1">
        <v>0.68071000000000004</v>
      </c>
      <c r="O68">
        <v>0.61890000000000012</v>
      </c>
      <c r="P68" s="1">
        <v>0.68071000000000004</v>
      </c>
      <c r="Q68">
        <v>0.77806999999999993</v>
      </c>
      <c r="R68" s="1">
        <v>0.68071000000000004</v>
      </c>
      <c r="S68">
        <v>0.33421000000000001</v>
      </c>
      <c r="T68" s="1">
        <v>0.64166999999999996</v>
      </c>
      <c r="U68">
        <v>0.43484</v>
      </c>
      <c r="V68" s="1">
        <v>0.64166999999999996</v>
      </c>
      <c r="W68">
        <v>0.71374999999999988</v>
      </c>
      <c r="X68" s="1">
        <v>0.64166999999999996</v>
      </c>
      <c r="Y68">
        <v>0.97934999999999994</v>
      </c>
      <c r="Z68" s="1">
        <v>0.64166999999999996</v>
      </c>
      <c r="AA68">
        <v>0.61890000000000012</v>
      </c>
      <c r="AB68" s="1">
        <v>0.64166999999999996</v>
      </c>
      <c r="AC68">
        <v>0.77806999999999993</v>
      </c>
      <c r="AD68" s="1">
        <v>0.64166999999999996</v>
      </c>
      <c r="AE68">
        <v>0.33421000000000001</v>
      </c>
      <c r="AF68" s="1">
        <v>0.43484</v>
      </c>
      <c r="AG68">
        <v>0.71374999999999988</v>
      </c>
      <c r="AH68" s="1">
        <v>0.43484</v>
      </c>
      <c r="AI68">
        <v>0.97934999999999994</v>
      </c>
      <c r="AJ68" s="1">
        <v>0.43484</v>
      </c>
      <c r="AK68">
        <v>0.61890000000000012</v>
      </c>
      <c r="AL68" s="1">
        <v>0.43484</v>
      </c>
      <c r="AM68">
        <v>0.77806999999999993</v>
      </c>
      <c r="AN68" s="1">
        <v>0.43484</v>
      </c>
      <c r="AO68">
        <v>0.33421000000000001</v>
      </c>
      <c r="AP68" s="1">
        <v>0.71374999999999988</v>
      </c>
      <c r="AQ68">
        <v>0.97934999999999994</v>
      </c>
      <c r="AR68" s="1">
        <v>0.71374999999999988</v>
      </c>
      <c r="AS68">
        <v>0.61890000000000012</v>
      </c>
      <c r="AT68" s="1">
        <v>0.71374999999999988</v>
      </c>
      <c r="AU68">
        <v>0.77806999999999993</v>
      </c>
      <c r="AV68" s="1">
        <v>0.71374999999999988</v>
      </c>
      <c r="AW68">
        <v>0.33421000000000001</v>
      </c>
      <c r="AX68" s="1">
        <v>0.97934999999999994</v>
      </c>
      <c r="AY68">
        <v>0.61890000000000012</v>
      </c>
      <c r="AZ68" s="1">
        <v>0.97934999999999994</v>
      </c>
      <c r="BA68">
        <v>0.77806999999999993</v>
      </c>
      <c r="BB68" s="1">
        <v>0.97934999999999994</v>
      </c>
      <c r="BC68">
        <v>0.33421000000000001</v>
      </c>
      <c r="BD68" s="1">
        <v>0.61890000000000012</v>
      </c>
      <c r="BE68">
        <v>0.77806999999999993</v>
      </c>
      <c r="BF68" s="1">
        <v>0.61890000000000012</v>
      </c>
      <c r="BG68">
        <v>0.33421000000000001</v>
      </c>
      <c r="BH68" s="1">
        <v>0.77806999999999993</v>
      </c>
      <c r="BI68">
        <v>0.33421000000000001</v>
      </c>
    </row>
    <row r="69" spans="1:61" x14ac:dyDescent="0.25">
      <c r="A69" s="9"/>
      <c r="B69" s="17">
        <v>0.99473</v>
      </c>
      <c r="E69" s="6"/>
      <c r="F69" s="1" t="s">
        <v>1</v>
      </c>
      <c r="G69" s="2" t="s">
        <v>2</v>
      </c>
      <c r="H69" s="1" t="s">
        <v>1</v>
      </c>
      <c r="I69" s="2" t="s">
        <v>3</v>
      </c>
      <c r="J69" s="1" t="s">
        <v>1</v>
      </c>
      <c r="K69" s="2" t="s">
        <v>4</v>
      </c>
      <c r="L69" s="1" t="s">
        <v>1</v>
      </c>
      <c r="M69" s="2" t="s">
        <v>5</v>
      </c>
      <c r="N69" s="1" t="s">
        <v>1</v>
      </c>
      <c r="O69" s="2" t="s">
        <v>6</v>
      </c>
      <c r="P69" s="1" t="s">
        <v>1</v>
      </c>
      <c r="Q69" s="2" t="s">
        <v>7</v>
      </c>
      <c r="R69" s="1" t="s">
        <v>1</v>
      </c>
      <c r="S69" s="2" t="s">
        <v>8</v>
      </c>
      <c r="T69" s="1" t="s">
        <v>2</v>
      </c>
      <c r="U69" s="2" t="s">
        <v>3</v>
      </c>
      <c r="V69" s="1" t="s">
        <v>2</v>
      </c>
      <c r="W69" s="2" t="s">
        <v>4</v>
      </c>
      <c r="X69" s="1" t="s">
        <v>2</v>
      </c>
      <c r="Y69" s="2" t="s">
        <v>5</v>
      </c>
      <c r="Z69" s="1" t="s">
        <v>2</v>
      </c>
      <c r="AA69" s="2" t="s">
        <v>6</v>
      </c>
      <c r="AB69" s="1" t="s">
        <v>2</v>
      </c>
      <c r="AC69" s="2" t="s">
        <v>7</v>
      </c>
      <c r="AD69" s="1" t="s">
        <v>2</v>
      </c>
      <c r="AE69" s="2" t="s">
        <v>8</v>
      </c>
      <c r="AF69" s="1" t="s">
        <v>3</v>
      </c>
      <c r="AG69" s="2" t="s">
        <v>4</v>
      </c>
      <c r="AH69" s="1" t="s">
        <v>3</v>
      </c>
      <c r="AI69" s="2" t="s">
        <v>5</v>
      </c>
      <c r="AJ69" s="1" t="s">
        <v>3</v>
      </c>
      <c r="AK69" s="2" t="s">
        <v>6</v>
      </c>
      <c r="AL69" s="1" t="s">
        <v>3</v>
      </c>
      <c r="AM69" s="2" t="s">
        <v>7</v>
      </c>
      <c r="AN69" s="1" t="s">
        <v>3</v>
      </c>
      <c r="AO69" s="2" t="s">
        <v>8</v>
      </c>
      <c r="AP69" s="1" t="s">
        <v>4</v>
      </c>
      <c r="AQ69" s="2" t="s">
        <v>5</v>
      </c>
      <c r="AR69" s="1" t="s">
        <v>4</v>
      </c>
      <c r="AS69" s="2" t="s">
        <v>6</v>
      </c>
      <c r="AT69" s="1" t="s">
        <v>4</v>
      </c>
      <c r="AU69" s="2" t="s">
        <v>7</v>
      </c>
      <c r="AV69" s="1" t="s">
        <v>4</v>
      </c>
      <c r="AW69" s="2" t="s">
        <v>8</v>
      </c>
      <c r="AX69" s="1" t="s">
        <v>5</v>
      </c>
      <c r="AY69" s="2" t="s">
        <v>6</v>
      </c>
      <c r="AZ69" s="1" t="s">
        <v>5</v>
      </c>
      <c r="BA69" s="2" t="s">
        <v>7</v>
      </c>
      <c r="BB69" s="1" t="s">
        <v>5</v>
      </c>
      <c r="BC69" s="2" t="s">
        <v>8</v>
      </c>
      <c r="BD69" s="1" t="s">
        <v>6</v>
      </c>
      <c r="BE69" s="2" t="s">
        <v>7</v>
      </c>
      <c r="BF69" s="1" t="s">
        <v>6</v>
      </c>
      <c r="BG69" s="2" t="s">
        <v>8</v>
      </c>
      <c r="BH69" s="1" t="s">
        <v>7</v>
      </c>
      <c r="BI69" s="2" t="s">
        <v>8</v>
      </c>
    </row>
    <row r="70" spans="1:61" x14ac:dyDescent="0.25">
      <c r="A70" s="10" t="s">
        <v>22</v>
      </c>
      <c r="B70" s="18">
        <v>2200</v>
      </c>
      <c r="D70" t="s">
        <v>12</v>
      </c>
      <c r="E70" t="s">
        <v>6</v>
      </c>
      <c r="F70" s="1">
        <v>0.8253299999999999</v>
      </c>
      <c r="G70">
        <v>0.70811000000000013</v>
      </c>
      <c r="H70" s="1">
        <v>0.8253299999999999</v>
      </c>
      <c r="I70">
        <v>0.52035999999999993</v>
      </c>
      <c r="J70" s="1">
        <v>0.8253299999999999</v>
      </c>
      <c r="K70">
        <v>0.81999</v>
      </c>
      <c r="L70" s="1">
        <v>0.8253299999999999</v>
      </c>
      <c r="M70">
        <v>0.87965000000000004</v>
      </c>
      <c r="N70" s="1">
        <v>0.8253299999999999</v>
      </c>
      <c r="O70">
        <v>0.93309999999999993</v>
      </c>
      <c r="P70" s="1">
        <v>0.8253299999999999</v>
      </c>
      <c r="Q70">
        <v>0.68524000000000007</v>
      </c>
      <c r="R70" s="1">
        <v>0.8253299999999999</v>
      </c>
      <c r="S70">
        <v>0.19435000000000002</v>
      </c>
      <c r="T70" s="1">
        <v>0.70811000000000013</v>
      </c>
      <c r="U70">
        <v>0.52035999999999993</v>
      </c>
      <c r="V70" s="1">
        <v>0.70811000000000013</v>
      </c>
      <c r="W70">
        <v>0.81999</v>
      </c>
      <c r="X70" s="1">
        <v>0.70811000000000013</v>
      </c>
      <c r="Y70">
        <v>0.87965000000000004</v>
      </c>
      <c r="Z70" s="1">
        <v>0.70811000000000013</v>
      </c>
      <c r="AA70">
        <v>0.93309999999999993</v>
      </c>
      <c r="AB70" s="1">
        <v>0.70811000000000013</v>
      </c>
      <c r="AC70">
        <v>0.68524000000000007</v>
      </c>
      <c r="AD70" s="1">
        <v>0.70811000000000013</v>
      </c>
      <c r="AE70">
        <v>0.19435000000000002</v>
      </c>
      <c r="AF70" s="1">
        <v>0.52035999999999993</v>
      </c>
      <c r="AG70">
        <v>0.81999</v>
      </c>
      <c r="AH70" s="1">
        <v>0.52035999999999993</v>
      </c>
      <c r="AI70">
        <v>0.87965000000000004</v>
      </c>
      <c r="AJ70" s="1">
        <v>0.52035999999999993</v>
      </c>
      <c r="AK70">
        <v>0.93309999999999993</v>
      </c>
      <c r="AL70" s="1">
        <v>0.52035999999999993</v>
      </c>
      <c r="AM70">
        <v>0.68524000000000007</v>
      </c>
      <c r="AN70" s="1">
        <v>0.52035999999999993</v>
      </c>
      <c r="AO70">
        <v>0.19435000000000002</v>
      </c>
      <c r="AP70" s="1">
        <v>0.81999</v>
      </c>
      <c r="AQ70">
        <v>0.87965000000000004</v>
      </c>
      <c r="AR70" s="1">
        <v>0.81999</v>
      </c>
      <c r="AS70">
        <v>0.93309999999999993</v>
      </c>
      <c r="AT70" s="1">
        <v>0.81999</v>
      </c>
      <c r="AU70">
        <v>0.68524000000000007</v>
      </c>
      <c r="AV70" s="1">
        <v>0.81999</v>
      </c>
      <c r="AW70">
        <v>0.19435000000000002</v>
      </c>
      <c r="AX70" s="1">
        <v>0.87965000000000004</v>
      </c>
      <c r="AY70">
        <v>0.93309999999999993</v>
      </c>
      <c r="AZ70" s="1">
        <v>0.87965000000000004</v>
      </c>
      <c r="BA70">
        <v>0.68524000000000007</v>
      </c>
      <c r="BB70" s="1">
        <v>0.87965000000000004</v>
      </c>
      <c r="BC70">
        <v>0.19435000000000002</v>
      </c>
      <c r="BD70" s="1">
        <v>0.93309999999999993</v>
      </c>
      <c r="BE70">
        <v>0.68524000000000007</v>
      </c>
      <c r="BF70" s="1">
        <v>0.93309999999999993</v>
      </c>
      <c r="BG70">
        <v>0.19435000000000002</v>
      </c>
      <c r="BH70" s="1">
        <v>0.68524000000000007</v>
      </c>
      <c r="BI70">
        <v>0.19435000000000002</v>
      </c>
    </row>
    <row r="71" spans="1:61" x14ac:dyDescent="0.25">
      <c r="A71" s="12" t="s">
        <v>1</v>
      </c>
      <c r="B71">
        <v>0.86187999999999998</v>
      </c>
      <c r="E71" s="6"/>
      <c r="F71" s="1" t="s">
        <v>1</v>
      </c>
      <c r="G71" s="2" t="s">
        <v>2</v>
      </c>
      <c r="H71" s="1" t="s">
        <v>1</v>
      </c>
      <c r="I71" s="2" t="s">
        <v>3</v>
      </c>
      <c r="J71" s="1" t="s">
        <v>1</v>
      </c>
      <c r="K71" s="2" t="s">
        <v>4</v>
      </c>
      <c r="L71" s="1" t="s">
        <v>1</v>
      </c>
      <c r="M71" s="2" t="s">
        <v>5</v>
      </c>
      <c r="N71" s="1" t="s">
        <v>1</v>
      </c>
      <c r="O71" s="2" t="s">
        <v>6</v>
      </c>
      <c r="P71" s="1" t="s">
        <v>1</v>
      </c>
      <c r="Q71" s="2" t="s">
        <v>7</v>
      </c>
      <c r="R71" s="1" t="s">
        <v>1</v>
      </c>
      <c r="S71" s="2" t="s">
        <v>8</v>
      </c>
      <c r="T71" s="1" t="s">
        <v>2</v>
      </c>
      <c r="U71" s="2" t="s">
        <v>3</v>
      </c>
      <c r="V71" s="1" t="s">
        <v>2</v>
      </c>
      <c r="W71" s="2" t="s">
        <v>4</v>
      </c>
      <c r="X71" s="1" t="s">
        <v>2</v>
      </c>
      <c r="Y71" s="2" t="s">
        <v>5</v>
      </c>
      <c r="Z71" s="1" t="s">
        <v>2</v>
      </c>
      <c r="AA71" s="2" t="s">
        <v>6</v>
      </c>
      <c r="AB71" s="1" t="s">
        <v>2</v>
      </c>
      <c r="AC71" s="2" t="s">
        <v>7</v>
      </c>
      <c r="AD71" s="1" t="s">
        <v>2</v>
      </c>
      <c r="AE71" s="2" t="s">
        <v>8</v>
      </c>
      <c r="AF71" s="1" t="s">
        <v>3</v>
      </c>
      <c r="AG71" s="2" t="s">
        <v>4</v>
      </c>
      <c r="AH71" s="1" t="s">
        <v>3</v>
      </c>
      <c r="AI71" s="2" t="s">
        <v>5</v>
      </c>
      <c r="AJ71" s="1" t="s">
        <v>3</v>
      </c>
      <c r="AK71" s="2" t="s">
        <v>6</v>
      </c>
      <c r="AL71" s="1" t="s">
        <v>3</v>
      </c>
      <c r="AM71" s="2" t="s">
        <v>7</v>
      </c>
      <c r="AN71" s="1" t="s">
        <v>3</v>
      </c>
      <c r="AO71" s="2" t="s">
        <v>8</v>
      </c>
      <c r="AP71" s="1" t="s">
        <v>4</v>
      </c>
      <c r="AQ71" s="2" t="s">
        <v>5</v>
      </c>
      <c r="AR71" s="1" t="s">
        <v>4</v>
      </c>
      <c r="AS71" s="2" t="s">
        <v>6</v>
      </c>
      <c r="AT71" s="1" t="s">
        <v>4</v>
      </c>
      <c r="AU71" s="2" t="s">
        <v>7</v>
      </c>
      <c r="AV71" s="1" t="s">
        <v>4</v>
      </c>
      <c r="AW71" s="2" t="s">
        <v>8</v>
      </c>
      <c r="AX71" s="1" t="s">
        <v>5</v>
      </c>
      <c r="AY71" s="2" t="s">
        <v>6</v>
      </c>
      <c r="AZ71" s="1" t="s">
        <v>5</v>
      </c>
      <c r="BA71" s="2" t="s">
        <v>7</v>
      </c>
      <c r="BB71" s="1" t="s">
        <v>5</v>
      </c>
      <c r="BC71" s="2" t="s">
        <v>8</v>
      </c>
      <c r="BD71" s="1" t="s">
        <v>6</v>
      </c>
      <c r="BE71" s="2" t="s">
        <v>7</v>
      </c>
      <c r="BF71" s="1" t="s">
        <v>6</v>
      </c>
      <c r="BG71" s="2" t="s">
        <v>8</v>
      </c>
      <c r="BH71" s="1" t="s">
        <v>7</v>
      </c>
      <c r="BI71" s="2" t="s">
        <v>8</v>
      </c>
    </row>
    <row r="72" spans="1:61" x14ac:dyDescent="0.25">
      <c r="A72" s="12" t="s">
        <v>2</v>
      </c>
      <c r="B72">
        <v>0.7793699999999999</v>
      </c>
      <c r="D72" t="s">
        <v>12</v>
      </c>
      <c r="E72" t="s">
        <v>7</v>
      </c>
      <c r="F72" s="1">
        <v>0.77134000000000003</v>
      </c>
      <c r="G72">
        <v>0.70246000000000008</v>
      </c>
      <c r="H72" s="1">
        <v>0.77134000000000003</v>
      </c>
      <c r="I72">
        <v>0.52746999999999988</v>
      </c>
      <c r="J72" s="1">
        <v>0.77134000000000003</v>
      </c>
      <c r="K72">
        <v>0.71741999999999995</v>
      </c>
      <c r="L72" s="1">
        <v>0.77134000000000003</v>
      </c>
      <c r="M72">
        <v>0.67388000000000003</v>
      </c>
      <c r="N72" s="1">
        <v>0.77134000000000003</v>
      </c>
      <c r="O72">
        <v>0.46222000000000002</v>
      </c>
      <c r="P72" s="1">
        <v>0.77134000000000003</v>
      </c>
      <c r="Q72">
        <v>0.96544000000000008</v>
      </c>
      <c r="R72" s="1">
        <v>0.77134000000000003</v>
      </c>
      <c r="S72">
        <v>0.56220000000000003</v>
      </c>
      <c r="T72" s="1">
        <v>0.70246000000000008</v>
      </c>
      <c r="U72">
        <v>0.52746999999999988</v>
      </c>
      <c r="V72" s="1">
        <v>0.70246000000000008</v>
      </c>
      <c r="W72">
        <v>0.71741999999999995</v>
      </c>
      <c r="X72" s="1">
        <v>0.70246000000000008</v>
      </c>
      <c r="Y72">
        <v>0.67388000000000003</v>
      </c>
      <c r="Z72" s="1">
        <v>0.70246000000000008</v>
      </c>
      <c r="AA72">
        <v>0.46222000000000002</v>
      </c>
      <c r="AB72" s="1">
        <v>0.70246000000000008</v>
      </c>
      <c r="AC72">
        <v>0.96544000000000008</v>
      </c>
      <c r="AD72" s="1">
        <v>0.70246000000000008</v>
      </c>
      <c r="AE72">
        <v>0.56220000000000003</v>
      </c>
      <c r="AF72" s="1">
        <v>0.52746999999999988</v>
      </c>
      <c r="AG72">
        <v>0.71741999999999995</v>
      </c>
      <c r="AH72" s="1">
        <v>0.52746999999999988</v>
      </c>
      <c r="AI72">
        <v>0.67388000000000003</v>
      </c>
      <c r="AJ72" s="1">
        <v>0.52746999999999988</v>
      </c>
      <c r="AK72">
        <v>0.46222000000000002</v>
      </c>
      <c r="AL72" s="1">
        <v>0.52746999999999988</v>
      </c>
      <c r="AM72">
        <v>0.96544000000000008</v>
      </c>
      <c r="AN72" s="1">
        <v>0.52746999999999988</v>
      </c>
      <c r="AO72">
        <v>0.56220000000000003</v>
      </c>
      <c r="AP72" s="1">
        <v>0.71741999999999995</v>
      </c>
      <c r="AQ72">
        <v>0.67388000000000003</v>
      </c>
      <c r="AR72" s="1">
        <v>0.71741999999999995</v>
      </c>
      <c r="AS72">
        <v>0.46222000000000002</v>
      </c>
      <c r="AT72" s="1">
        <v>0.71741999999999995</v>
      </c>
      <c r="AU72">
        <v>0.96544000000000008</v>
      </c>
      <c r="AV72" s="1">
        <v>0.71741999999999995</v>
      </c>
      <c r="AW72">
        <v>0.56220000000000003</v>
      </c>
      <c r="AX72" s="1">
        <v>0.67388000000000003</v>
      </c>
      <c r="AY72">
        <v>0.46222000000000002</v>
      </c>
      <c r="AZ72" s="1">
        <v>0.67388000000000003</v>
      </c>
      <c r="BA72">
        <v>0.96544000000000008</v>
      </c>
      <c r="BB72" s="1">
        <v>0.67388000000000003</v>
      </c>
      <c r="BC72">
        <v>0.56220000000000003</v>
      </c>
      <c r="BD72" s="1">
        <v>0.46222000000000002</v>
      </c>
      <c r="BE72">
        <v>0.96544000000000008</v>
      </c>
      <c r="BF72" s="1">
        <v>0.46222000000000002</v>
      </c>
      <c r="BG72">
        <v>0.56220000000000003</v>
      </c>
      <c r="BH72" s="1">
        <v>0.96544000000000008</v>
      </c>
      <c r="BI72">
        <v>0.56220000000000003</v>
      </c>
    </row>
    <row r="73" spans="1:61" x14ac:dyDescent="0.25">
      <c r="A73" s="12" t="s">
        <v>3</v>
      </c>
      <c r="B73">
        <v>0.8479000000000001</v>
      </c>
      <c r="F73" s="1" t="s">
        <v>1</v>
      </c>
      <c r="G73" s="2" t="s">
        <v>2</v>
      </c>
      <c r="H73" s="1" t="s">
        <v>1</v>
      </c>
      <c r="I73" s="2" t="s">
        <v>3</v>
      </c>
      <c r="J73" s="1" t="s">
        <v>1</v>
      </c>
      <c r="K73" s="2" t="s">
        <v>4</v>
      </c>
      <c r="L73" s="1" t="s">
        <v>1</v>
      </c>
      <c r="M73" s="2" t="s">
        <v>5</v>
      </c>
      <c r="N73" s="1" t="s">
        <v>1</v>
      </c>
      <c r="O73" s="2" t="s">
        <v>6</v>
      </c>
      <c r="P73" s="1" t="s">
        <v>1</v>
      </c>
      <c r="Q73" s="2" t="s">
        <v>7</v>
      </c>
      <c r="R73" s="1" t="s">
        <v>1</v>
      </c>
      <c r="S73" s="2" t="s">
        <v>8</v>
      </c>
      <c r="T73" s="1" t="s">
        <v>2</v>
      </c>
      <c r="U73" s="2" t="s">
        <v>3</v>
      </c>
      <c r="V73" s="1" t="s">
        <v>2</v>
      </c>
      <c r="W73" s="2" t="s">
        <v>4</v>
      </c>
      <c r="X73" s="1" t="s">
        <v>2</v>
      </c>
      <c r="Y73" s="2" t="s">
        <v>5</v>
      </c>
      <c r="Z73" s="1" t="s">
        <v>2</v>
      </c>
      <c r="AA73" s="2" t="s">
        <v>6</v>
      </c>
      <c r="AB73" s="1" t="s">
        <v>2</v>
      </c>
      <c r="AC73" s="2" t="s">
        <v>7</v>
      </c>
      <c r="AD73" s="1" t="s">
        <v>2</v>
      </c>
      <c r="AE73" s="2" t="s">
        <v>8</v>
      </c>
      <c r="AF73" s="1" t="s">
        <v>3</v>
      </c>
      <c r="AG73" s="2" t="s">
        <v>4</v>
      </c>
      <c r="AH73" s="1" t="s">
        <v>3</v>
      </c>
      <c r="AI73" s="2" t="s">
        <v>5</v>
      </c>
      <c r="AJ73" s="1" t="s">
        <v>3</v>
      </c>
      <c r="AK73" s="2" t="s">
        <v>6</v>
      </c>
      <c r="AL73" s="1" t="s">
        <v>3</v>
      </c>
      <c r="AM73" s="2" t="s">
        <v>7</v>
      </c>
      <c r="AN73" s="1" t="s">
        <v>3</v>
      </c>
      <c r="AO73" s="2" t="s">
        <v>8</v>
      </c>
      <c r="AP73" s="1" t="s">
        <v>4</v>
      </c>
      <c r="AQ73" s="2" t="s">
        <v>5</v>
      </c>
      <c r="AR73" s="1" t="s">
        <v>4</v>
      </c>
      <c r="AS73" s="2" t="s">
        <v>6</v>
      </c>
      <c r="AT73" s="1" t="s">
        <v>4</v>
      </c>
      <c r="AU73" s="2" t="s">
        <v>7</v>
      </c>
      <c r="AV73" s="1" t="s">
        <v>4</v>
      </c>
      <c r="AW73" s="2" t="s">
        <v>8</v>
      </c>
      <c r="AX73" s="1" t="s">
        <v>5</v>
      </c>
      <c r="AY73" s="2" t="s">
        <v>6</v>
      </c>
      <c r="AZ73" s="1" t="s">
        <v>5</v>
      </c>
      <c r="BA73" s="2" t="s">
        <v>7</v>
      </c>
      <c r="BB73" s="1" t="s">
        <v>5</v>
      </c>
      <c r="BC73" s="2" t="s">
        <v>8</v>
      </c>
      <c r="BD73" s="1" t="s">
        <v>6</v>
      </c>
      <c r="BE73" s="2" t="s">
        <v>7</v>
      </c>
      <c r="BF73" s="1" t="s">
        <v>6</v>
      </c>
      <c r="BG73" s="2" t="s">
        <v>8</v>
      </c>
      <c r="BH73" s="1" t="s">
        <v>7</v>
      </c>
      <c r="BI73" s="2" t="s">
        <v>8</v>
      </c>
    </row>
    <row r="74" spans="1:61" x14ac:dyDescent="0.25">
      <c r="A74" s="12" t="s">
        <v>10</v>
      </c>
      <c r="B74">
        <v>0.88343999999999989</v>
      </c>
      <c r="D74" t="s">
        <v>12</v>
      </c>
      <c r="E74" t="s">
        <v>8</v>
      </c>
      <c r="F74" s="1">
        <v>0.75424000000000002</v>
      </c>
      <c r="G74">
        <v>0.67150999999999994</v>
      </c>
      <c r="H74" s="1">
        <v>0.75424000000000002</v>
      </c>
      <c r="I74">
        <v>0.45667999999999997</v>
      </c>
      <c r="J74" s="1">
        <v>0.75424000000000002</v>
      </c>
      <c r="K74">
        <v>0.26508999999999999</v>
      </c>
      <c r="L74" s="1">
        <v>0.75424000000000002</v>
      </c>
      <c r="M74">
        <v>0.42713999999999996</v>
      </c>
      <c r="N74" s="1">
        <v>0.75424000000000002</v>
      </c>
      <c r="O74">
        <v>0.32871</v>
      </c>
      <c r="P74" s="1">
        <v>0.75424000000000002</v>
      </c>
      <c r="Q74">
        <v>0.43952000000000002</v>
      </c>
      <c r="R74" s="1">
        <v>0.75424000000000002</v>
      </c>
      <c r="S74">
        <v>0.99605999999999995</v>
      </c>
      <c r="T74" s="1">
        <v>0.67150999999999994</v>
      </c>
      <c r="U74">
        <v>0.45667999999999997</v>
      </c>
      <c r="V74" s="1">
        <v>0.67150999999999994</v>
      </c>
      <c r="W74">
        <v>0.26508999999999999</v>
      </c>
      <c r="X74" s="1">
        <v>0.67150999999999994</v>
      </c>
      <c r="Y74">
        <v>0.42713999999999996</v>
      </c>
      <c r="Z74" s="1">
        <v>0.67150999999999994</v>
      </c>
      <c r="AA74">
        <v>0.32871</v>
      </c>
      <c r="AB74" s="1">
        <v>0.67150999999999994</v>
      </c>
      <c r="AC74">
        <v>0.43952000000000002</v>
      </c>
      <c r="AD74" s="1">
        <v>0.67150999999999994</v>
      </c>
      <c r="AE74">
        <v>0.99605999999999995</v>
      </c>
      <c r="AF74" s="1">
        <v>0.45667999999999997</v>
      </c>
      <c r="AG74">
        <v>0.26508999999999999</v>
      </c>
      <c r="AH74" s="1">
        <v>0.45667999999999997</v>
      </c>
      <c r="AI74">
        <v>0.42713999999999996</v>
      </c>
      <c r="AJ74" s="1">
        <v>0.45667999999999997</v>
      </c>
      <c r="AK74">
        <v>0.32871</v>
      </c>
      <c r="AL74" s="1">
        <v>0.45667999999999997</v>
      </c>
      <c r="AM74">
        <v>0.43952000000000002</v>
      </c>
      <c r="AN74" s="1">
        <v>0.45667999999999997</v>
      </c>
      <c r="AO74">
        <v>0.99605999999999995</v>
      </c>
      <c r="AP74" s="1">
        <v>0.26508999999999999</v>
      </c>
      <c r="AQ74">
        <v>0.42713999999999996</v>
      </c>
      <c r="AR74" s="1">
        <v>0.26508999999999999</v>
      </c>
      <c r="AS74">
        <v>0.32871</v>
      </c>
      <c r="AT74" s="1">
        <v>0.26508999999999999</v>
      </c>
      <c r="AU74">
        <v>0.43952000000000002</v>
      </c>
      <c r="AV74" s="1">
        <v>0.26508999999999999</v>
      </c>
      <c r="AW74">
        <v>0.99605999999999995</v>
      </c>
      <c r="AX74" s="1">
        <v>0.42713999999999996</v>
      </c>
      <c r="AY74">
        <v>0.32871</v>
      </c>
      <c r="AZ74" s="1">
        <v>0.42713999999999996</v>
      </c>
      <c r="BA74">
        <v>0.43952000000000002</v>
      </c>
      <c r="BB74" s="1">
        <v>0.42713999999999996</v>
      </c>
      <c r="BC74">
        <v>0.99605999999999995</v>
      </c>
      <c r="BD74" s="1">
        <v>0.32871</v>
      </c>
      <c r="BE74">
        <v>0.43952000000000002</v>
      </c>
      <c r="BF74" s="1">
        <v>0.32871</v>
      </c>
      <c r="BG74">
        <v>0.99605999999999995</v>
      </c>
      <c r="BH74" s="1">
        <v>0.43952000000000002</v>
      </c>
      <c r="BI74">
        <v>0.99605999999999995</v>
      </c>
    </row>
    <row r="75" spans="1:61" x14ac:dyDescent="0.25">
      <c r="A75" s="12" t="s">
        <v>11</v>
      </c>
      <c r="B75">
        <v>0.85853999999999997</v>
      </c>
    </row>
    <row r="76" spans="1:61" x14ac:dyDescent="0.25">
      <c r="A76" s="12" t="s">
        <v>6</v>
      </c>
      <c r="B76">
        <v>0.88644999999999996</v>
      </c>
    </row>
    <row r="77" spans="1:61" x14ac:dyDescent="0.25">
      <c r="A77" s="11" t="s">
        <v>7</v>
      </c>
      <c r="B77">
        <v>0.99473</v>
      </c>
    </row>
    <row r="78" spans="1:61" x14ac:dyDescent="0.25">
      <c r="A78" s="12" t="s">
        <v>8</v>
      </c>
      <c r="B78">
        <v>0.54332999999999998</v>
      </c>
    </row>
    <row r="79" spans="1:61" x14ac:dyDescent="0.25">
      <c r="A79" s="8">
        <v>100</v>
      </c>
      <c r="B79" s="17">
        <v>1</v>
      </c>
    </row>
    <row r="80" spans="1:61" x14ac:dyDescent="0.25">
      <c r="A80" s="9"/>
      <c r="B80" s="17">
        <v>0.9985099999999999</v>
      </c>
    </row>
    <row r="81" spans="1:3" x14ac:dyDescent="0.25">
      <c r="A81" s="10" t="s">
        <v>23</v>
      </c>
      <c r="B81" s="18">
        <v>2200</v>
      </c>
    </row>
    <row r="82" spans="1:3" x14ac:dyDescent="0.25">
      <c r="A82" s="12" t="s">
        <v>1</v>
      </c>
      <c r="B82">
        <v>0.73250000000000004</v>
      </c>
    </row>
    <row r="83" spans="1:3" x14ac:dyDescent="0.25">
      <c r="A83" s="12" t="s">
        <v>2</v>
      </c>
      <c r="B83">
        <v>0.62480000000000002</v>
      </c>
    </row>
    <row r="84" spans="1:3" x14ac:dyDescent="0.25">
      <c r="A84" s="12" t="s">
        <v>3</v>
      </c>
      <c r="B84">
        <v>0.37756000000000001</v>
      </c>
    </row>
    <row r="85" spans="1:3" x14ac:dyDescent="0.25">
      <c r="A85" s="12" t="s">
        <v>10</v>
      </c>
      <c r="B85">
        <v>0.30667999999999995</v>
      </c>
    </row>
    <row r="86" spans="1:3" x14ac:dyDescent="0.25">
      <c r="A86" s="12" t="s">
        <v>11</v>
      </c>
      <c r="B86">
        <v>0.64373000000000002</v>
      </c>
    </row>
    <row r="87" spans="1:3" x14ac:dyDescent="0.25">
      <c r="A87" s="12" t="s">
        <v>6</v>
      </c>
      <c r="B87">
        <v>0.47974999999999995</v>
      </c>
    </row>
    <row r="88" spans="1:3" x14ac:dyDescent="0.25">
      <c r="A88" s="12" t="s">
        <v>7</v>
      </c>
      <c r="B88">
        <v>0.54630000000000001</v>
      </c>
    </row>
    <row r="89" spans="1:3" x14ac:dyDescent="0.25">
      <c r="A89" s="11" t="s">
        <v>8</v>
      </c>
      <c r="B89">
        <v>0.9985099999999999</v>
      </c>
    </row>
    <row r="90" spans="1:3" x14ac:dyDescent="0.25">
      <c r="A90" s="14"/>
      <c r="B90" s="19"/>
    </row>
    <row r="91" spans="1:3" x14ac:dyDescent="0.25">
      <c r="A91" s="7" t="s">
        <v>13</v>
      </c>
      <c r="B91" s="2"/>
    </row>
    <row r="92" spans="1:3" x14ac:dyDescent="0.25">
      <c r="A92" s="8">
        <v>100</v>
      </c>
      <c r="B92" s="8">
        <v>1</v>
      </c>
      <c r="C92" s="20"/>
    </row>
    <row r="93" spans="1:3" x14ac:dyDescent="0.25">
      <c r="A93" s="9"/>
      <c r="B93" s="17">
        <v>0.96527999999999992</v>
      </c>
    </row>
    <row r="94" spans="1:3" x14ac:dyDescent="0.25">
      <c r="A94" s="10" t="s">
        <v>16</v>
      </c>
      <c r="B94" s="18">
        <v>2200</v>
      </c>
    </row>
    <row r="95" spans="1:3" x14ac:dyDescent="0.25">
      <c r="A95" s="11" t="s">
        <v>1</v>
      </c>
      <c r="B95">
        <v>0.96527999999999992</v>
      </c>
    </row>
    <row r="96" spans="1:3" x14ac:dyDescent="0.25">
      <c r="A96" s="12" t="s">
        <v>2</v>
      </c>
      <c r="B96">
        <v>0.77294000000000007</v>
      </c>
    </row>
    <row r="97" spans="1:2" x14ac:dyDescent="0.25">
      <c r="A97" s="12" t="s">
        <v>3</v>
      </c>
      <c r="B97">
        <v>0.69097000000000008</v>
      </c>
    </row>
    <row r="98" spans="1:2" x14ac:dyDescent="0.25">
      <c r="A98" s="12" t="s">
        <v>10</v>
      </c>
      <c r="B98">
        <v>0.70900000000000007</v>
      </c>
    </row>
    <row r="99" spans="1:2" x14ac:dyDescent="0.25">
      <c r="A99" s="12" t="s">
        <v>11</v>
      </c>
      <c r="B99">
        <v>0.78256999999999999</v>
      </c>
    </row>
    <row r="100" spans="1:2" x14ac:dyDescent="0.25">
      <c r="A100" s="12" t="s">
        <v>6</v>
      </c>
      <c r="B100">
        <v>0.67493999999999998</v>
      </c>
    </row>
    <row r="101" spans="1:2" x14ac:dyDescent="0.25">
      <c r="A101" s="12" t="s">
        <v>7</v>
      </c>
      <c r="B101">
        <v>0.70730000000000004</v>
      </c>
    </row>
    <row r="102" spans="1:2" x14ac:dyDescent="0.25">
      <c r="A102" s="12" t="s">
        <v>8</v>
      </c>
      <c r="B102">
        <v>0.74325000000000008</v>
      </c>
    </row>
    <row r="103" spans="1:2" x14ac:dyDescent="0.25">
      <c r="A103" s="8">
        <v>100</v>
      </c>
      <c r="B103" s="17">
        <v>1</v>
      </c>
    </row>
    <row r="104" spans="1:2" x14ac:dyDescent="0.25">
      <c r="A104" s="9"/>
      <c r="B104" s="17">
        <v>0.96933000000000002</v>
      </c>
    </row>
    <row r="105" spans="1:2" x14ac:dyDescent="0.25">
      <c r="A105" s="10" t="s">
        <v>17</v>
      </c>
      <c r="B105" s="18">
        <v>2200</v>
      </c>
    </row>
    <row r="106" spans="1:2" x14ac:dyDescent="0.25">
      <c r="A106" s="12" t="s">
        <v>1</v>
      </c>
      <c r="B106">
        <v>0.6371</v>
      </c>
    </row>
    <row r="107" spans="1:2" x14ac:dyDescent="0.25">
      <c r="A107" s="11" t="s">
        <v>2</v>
      </c>
      <c r="B107">
        <v>0.96933000000000002</v>
      </c>
    </row>
    <row r="108" spans="1:2" x14ac:dyDescent="0.25">
      <c r="A108" s="12" t="s">
        <v>3</v>
      </c>
      <c r="B108">
        <v>0.54074000000000011</v>
      </c>
    </row>
    <row r="109" spans="1:2" x14ac:dyDescent="0.25">
      <c r="A109" s="12" t="s">
        <v>10</v>
      </c>
      <c r="B109">
        <v>0.52524999999999999</v>
      </c>
    </row>
    <row r="110" spans="1:2" x14ac:dyDescent="0.25">
      <c r="A110" s="12" t="s">
        <v>11</v>
      </c>
      <c r="B110">
        <v>0.55701999999999996</v>
      </c>
    </row>
    <row r="111" spans="1:2" x14ac:dyDescent="0.25">
      <c r="A111" s="12" t="s">
        <v>6</v>
      </c>
      <c r="B111">
        <v>0.32899</v>
      </c>
    </row>
    <row r="112" spans="1:2" x14ac:dyDescent="0.25">
      <c r="A112" s="12" t="s">
        <v>7</v>
      </c>
      <c r="B112">
        <v>0.63534999999999997</v>
      </c>
    </row>
    <row r="113" spans="1:2" x14ac:dyDescent="0.25">
      <c r="A113" s="12" t="s">
        <v>8</v>
      </c>
      <c r="B113">
        <v>0.53125999999999995</v>
      </c>
    </row>
    <row r="114" spans="1:2" x14ac:dyDescent="0.25">
      <c r="A114" s="8">
        <v>100</v>
      </c>
      <c r="B114" s="17">
        <v>1</v>
      </c>
    </row>
    <row r="115" spans="1:2" x14ac:dyDescent="0.25">
      <c r="A115" s="9"/>
      <c r="B115" s="17">
        <v>0.9190799999999999</v>
      </c>
    </row>
    <row r="116" spans="1:2" x14ac:dyDescent="0.25">
      <c r="A116" s="10" t="s">
        <v>18</v>
      </c>
      <c r="B116" s="18">
        <v>2200</v>
      </c>
    </row>
    <row r="117" spans="1:2" x14ac:dyDescent="0.25">
      <c r="A117" s="12" t="s">
        <v>1</v>
      </c>
      <c r="B117">
        <v>0.24070999999999998</v>
      </c>
    </row>
    <row r="118" spans="1:2" x14ac:dyDescent="0.25">
      <c r="A118" s="12" t="s">
        <v>2</v>
      </c>
      <c r="B118">
        <v>0.57593000000000005</v>
      </c>
    </row>
    <row r="119" spans="1:2" x14ac:dyDescent="0.25">
      <c r="A119" s="11" t="s">
        <v>3</v>
      </c>
      <c r="B119">
        <v>0.9190799999999999</v>
      </c>
    </row>
    <row r="120" spans="1:2" x14ac:dyDescent="0.25">
      <c r="A120" s="12" t="s">
        <v>10</v>
      </c>
      <c r="B120">
        <v>0.45378999999999997</v>
      </c>
    </row>
    <row r="121" spans="1:2" x14ac:dyDescent="0.25">
      <c r="A121" s="12" t="s">
        <v>11</v>
      </c>
      <c r="B121">
        <v>0.37486000000000003</v>
      </c>
    </row>
    <row r="122" spans="1:2" x14ac:dyDescent="0.25">
      <c r="A122" s="12" t="s">
        <v>6</v>
      </c>
      <c r="B122">
        <v>0.55304000000000009</v>
      </c>
    </row>
    <row r="123" spans="1:2" x14ac:dyDescent="0.25">
      <c r="A123" s="12" t="s">
        <v>7</v>
      </c>
      <c r="B123">
        <v>0.53007000000000004</v>
      </c>
    </row>
    <row r="124" spans="1:2" x14ac:dyDescent="0.25">
      <c r="A124" s="12" t="s">
        <v>8</v>
      </c>
      <c r="B124">
        <v>0.30829000000000006</v>
      </c>
    </row>
    <row r="125" spans="1:2" x14ac:dyDescent="0.25">
      <c r="A125" s="8">
        <v>84</v>
      </c>
      <c r="B125" s="17">
        <v>1</v>
      </c>
    </row>
    <row r="126" spans="1:2" x14ac:dyDescent="0.25">
      <c r="A126" s="9"/>
      <c r="B126" s="17">
        <v>0.89671000000000001</v>
      </c>
    </row>
    <row r="127" spans="1:2" x14ac:dyDescent="0.25">
      <c r="A127" s="10" t="s">
        <v>19</v>
      </c>
      <c r="B127" s="18">
        <v>2200</v>
      </c>
    </row>
    <row r="128" spans="1:2" x14ac:dyDescent="0.25">
      <c r="A128" s="12" t="s">
        <v>1</v>
      </c>
      <c r="B128">
        <v>0.32623000000000002</v>
      </c>
    </row>
    <row r="129" spans="1:2" x14ac:dyDescent="0.25">
      <c r="A129" s="12" t="s">
        <v>2</v>
      </c>
      <c r="B129">
        <v>0.42418000000000006</v>
      </c>
    </row>
    <row r="130" spans="1:2" x14ac:dyDescent="0.25">
      <c r="A130" s="12" t="s">
        <v>3</v>
      </c>
      <c r="B130">
        <v>0.51046000000000002</v>
      </c>
    </row>
    <row r="131" spans="1:2" x14ac:dyDescent="0.25">
      <c r="A131" s="11" t="s">
        <v>10</v>
      </c>
      <c r="B131">
        <v>0.89671000000000001</v>
      </c>
    </row>
    <row r="132" spans="1:2" x14ac:dyDescent="0.25">
      <c r="A132" s="15" t="s">
        <v>11</v>
      </c>
      <c r="B132">
        <v>0.66464000000000001</v>
      </c>
    </row>
    <row r="133" spans="1:2" x14ac:dyDescent="0.25">
      <c r="A133" s="13" t="s">
        <v>6</v>
      </c>
      <c r="B133">
        <v>0.70763999999999994</v>
      </c>
    </row>
    <row r="134" spans="1:2" x14ac:dyDescent="0.25">
      <c r="A134" s="12" t="s">
        <v>7</v>
      </c>
      <c r="B134">
        <v>0.33493000000000006</v>
      </c>
    </row>
    <row r="135" spans="1:2" x14ac:dyDescent="0.25">
      <c r="A135" s="12" t="s">
        <v>8</v>
      </c>
      <c r="B135">
        <v>4.6969999999999998E-2</v>
      </c>
    </row>
    <row r="136" spans="1:2" x14ac:dyDescent="0.25">
      <c r="A136" s="8">
        <v>100</v>
      </c>
      <c r="B136" s="17">
        <v>1</v>
      </c>
    </row>
    <row r="137" spans="1:2" x14ac:dyDescent="0.25">
      <c r="A137" s="9"/>
      <c r="B137" s="17">
        <v>0.97483000000000009</v>
      </c>
    </row>
    <row r="138" spans="1:2" x14ac:dyDescent="0.25">
      <c r="A138" s="10" t="s">
        <v>20</v>
      </c>
      <c r="B138" s="18">
        <v>2200</v>
      </c>
    </row>
    <row r="139" spans="1:2" x14ac:dyDescent="0.25">
      <c r="A139" s="12" t="s">
        <v>1</v>
      </c>
      <c r="B139">
        <v>0.70631999999999995</v>
      </c>
    </row>
    <row r="140" spans="1:2" x14ac:dyDescent="0.25">
      <c r="A140" s="12" t="s">
        <v>2</v>
      </c>
      <c r="B140">
        <v>0.67446000000000006</v>
      </c>
    </row>
    <row r="141" spans="1:2" x14ac:dyDescent="0.25">
      <c r="A141" s="12" t="s">
        <v>3</v>
      </c>
      <c r="B141">
        <v>0.69289999999999996</v>
      </c>
    </row>
    <row r="142" spans="1:2" x14ac:dyDescent="0.25">
      <c r="A142" s="12" t="s">
        <v>10</v>
      </c>
      <c r="B142">
        <v>0.79191</v>
      </c>
    </row>
    <row r="143" spans="1:2" x14ac:dyDescent="0.25">
      <c r="A143" s="11" t="s">
        <v>11</v>
      </c>
      <c r="B143">
        <v>0.97483000000000009</v>
      </c>
    </row>
    <row r="144" spans="1:2" x14ac:dyDescent="0.25">
      <c r="A144" s="15" t="s">
        <v>6</v>
      </c>
      <c r="B144">
        <v>0.77747999999999995</v>
      </c>
    </row>
    <row r="145" spans="1:2" x14ac:dyDescent="0.25">
      <c r="A145" s="12" t="s">
        <v>7</v>
      </c>
      <c r="B145">
        <v>0.70492999999999983</v>
      </c>
    </row>
    <row r="146" spans="1:2" x14ac:dyDescent="0.25">
      <c r="A146" s="12" t="s">
        <v>8</v>
      </c>
      <c r="B146">
        <v>0.21537000000000001</v>
      </c>
    </row>
    <row r="147" spans="1:2" x14ac:dyDescent="0.25">
      <c r="A147" s="8">
        <v>99</v>
      </c>
      <c r="B147" s="17">
        <v>1</v>
      </c>
    </row>
    <row r="148" spans="1:2" x14ac:dyDescent="0.25">
      <c r="A148" s="9"/>
      <c r="B148" s="17">
        <v>0.94740000000000002</v>
      </c>
    </row>
    <row r="149" spans="1:2" x14ac:dyDescent="0.25">
      <c r="A149" s="10" t="s">
        <v>21</v>
      </c>
      <c r="B149" s="18">
        <v>2200</v>
      </c>
    </row>
    <row r="150" spans="1:2" x14ac:dyDescent="0.25">
      <c r="A150" s="12" t="s">
        <v>1</v>
      </c>
      <c r="B150">
        <v>0.32687999999999995</v>
      </c>
    </row>
    <row r="151" spans="1:2" x14ac:dyDescent="0.25">
      <c r="A151" s="12" t="s">
        <v>2</v>
      </c>
      <c r="B151">
        <v>0.32064000000000004</v>
      </c>
    </row>
    <row r="152" spans="1:2" x14ac:dyDescent="0.25">
      <c r="A152" s="13" t="s">
        <v>3</v>
      </c>
      <c r="B152">
        <v>0.48528000000000004</v>
      </c>
    </row>
    <row r="153" spans="1:2" x14ac:dyDescent="0.25">
      <c r="A153" s="12" t="s">
        <v>10</v>
      </c>
      <c r="B153">
        <v>0.49334</v>
      </c>
    </row>
    <row r="154" spans="1:2" x14ac:dyDescent="0.25">
      <c r="A154" s="12" t="s">
        <v>11</v>
      </c>
      <c r="B154">
        <v>0.38954999999999995</v>
      </c>
    </row>
    <row r="155" spans="1:2" x14ac:dyDescent="0.25">
      <c r="A155" s="11" t="s">
        <v>6</v>
      </c>
      <c r="B155">
        <v>0.94740000000000002</v>
      </c>
    </row>
    <row r="156" spans="1:2" x14ac:dyDescent="0.25">
      <c r="A156" s="12" t="s">
        <v>7</v>
      </c>
      <c r="B156">
        <v>0.32724999999999999</v>
      </c>
    </row>
    <row r="157" spans="1:2" x14ac:dyDescent="0.25">
      <c r="A157" s="12" t="s">
        <v>8</v>
      </c>
      <c r="B157">
        <v>0.14848</v>
      </c>
    </row>
    <row r="158" spans="1:2" x14ac:dyDescent="0.25">
      <c r="A158" s="8">
        <v>100</v>
      </c>
      <c r="B158" s="17">
        <v>1</v>
      </c>
    </row>
    <row r="159" spans="1:2" x14ac:dyDescent="0.25">
      <c r="A159" s="9"/>
      <c r="B159" s="17">
        <v>0.97676999999999992</v>
      </c>
    </row>
    <row r="160" spans="1:2" x14ac:dyDescent="0.25">
      <c r="A160" s="10" t="s">
        <v>22</v>
      </c>
      <c r="B160" s="18">
        <v>2200</v>
      </c>
    </row>
    <row r="161" spans="1:2" x14ac:dyDescent="0.25">
      <c r="A161" s="12" t="s">
        <v>1</v>
      </c>
      <c r="B161">
        <v>0.75485999999999986</v>
      </c>
    </row>
    <row r="162" spans="1:2" x14ac:dyDescent="0.25">
      <c r="A162" s="12" t="s">
        <v>2</v>
      </c>
      <c r="B162">
        <v>0.69056000000000017</v>
      </c>
    </row>
    <row r="163" spans="1:2" x14ac:dyDescent="0.25">
      <c r="A163" s="12" t="s">
        <v>3</v>
      </c>
      <c r="B163">
        <v>0.58033999999999997</v>
      </c>
    </row>
    <row r="164" spans="1:2" x14ac:dyDescent="0.25">
      <c r="A164" s="12" t="s">
        <v>10</v>
      </c>
      <c r="B164">
        <v>0.79005999999999987</v>
      </c>
    </row>
    <row r="165" spans="1:2" x14ac:dyDescent="0.25">
      <c r="A165" s="12" t="s">
        <v>11</v>
      </c>
      <c r="B165">
        <v>0.82530999999999999</v>
      </c>
    </row>
    <row r="166" spans="1:2" x14ac:dyDescent="0.25">
      <c r="A166" s="12" t="s">
        <v>6</v>
      </c>
      <c r="B166">
        <v>0.77698999999999996</v>
      </c>
    </row>
    <row r="167" spans="1:2" x14ac:dyDescent="0.25">
      <c r="A167" s="11" t="s">
        <v>7</v>
      </c>
      <c r="B167">
        <v>0.97676999999999992</v>
      </c>
    </row>
    <row r="168" spans="1:2" x14ac:dyDescent="0.25">
      <c r="A168" s="12" t="s">
        <v>8</v>
      </c>
      <c r="B168">
        <v>0.43638000000000005</v>
      </c>
    </row>
    <row r="169" spans="1:2" x14ac:dyDescent="0.25">
      <c r="A169" s="8">
        <v>100</v>
      </c>
      <c r="B169" s="17">
        <v>1</v>
      </c>
    </row>
    <row r="170" spans="1:2" x14ac:dyDescent="0.25">
      <c r="A170" s="9"/>
      <c r="B170" s="17">
        <v>0.99799000000000004</v>
      </c>
    </row>
    <row r="171" spans="1:2" x14ac:dyDescent="0.25">
      <c r="A171" s="10" t="s">
        <v>23</v>
      </c>
      <c r="B171" s="18">
        <v>2200</v>
      </c>
    </row>
    <row r="172" spans="1:2" x14ac:dyDescent="0.25">
      <c r="A172" s="12" t="s">
        <v>1</v>
      </c>
      <c r="B172">
        <v>0.6109</v>
      </c>
    </row>
    <row r="173" spans="1:2" x14ac:dyDescent="0.25">
      <c r="A173" s="12" t="s">
        <v>2</v>
      </c>
      <c r="B173">
        <v>0.40231000000000006</v>
      </c>
    </row>
    <row r="174" spans="1:2" x14ac:dyDescent="0.25">
      <c r="A174" s="12" t="s">
        <v>3</v>
      </c>
      <c r="B174">
        <v>0.12167000000000001</v>
      </c>
    </row>
    <row r="175" spans="1:2" x14ac:dyDescent="0.25">
      <c r="A175" s="12" t="s">
        <v>10</v>
      </c>
      <c r="B175">
        <v>0.23923</v>
      </c>
    </row>
    <row r="176" spans="1:2" x14ac:dyDescent="0.25">
      <c r="A176" s="12" t="s">
        <v>11</v>
      </c>
      <c r="B176">
        <v>0.43934000000000006</v>
      </c>
    </row>
    <row r="177" spans="1:3" x14ac:dyDescent="0.25">
      <c r="A177" s="12" t="s">
        <v>6</v>
      </c>
      <c r="B177">
        <v>0.24142000000000002</v>
      </c>
    </row>
    <row r="178" spans="1:3" x14ac:dyDescent="0.25">
      <c r="A178" s="12" t="s">
        <v>7</v>
      </c>
      <c r="B178">
        <v>0.54712999999999989</v>
      </c>
    </row>
    <row r="179" spans="1:3" x14ac:dyDescent="0.25">
      <c r="A179" s="11" t="s">
        <v>8</v>
      </c>
      <c r="B179">
        <v>0.99799000000000004</v>
      </c>
    </row>
    <row r="180" spans="1:3" x14ac:dyDescent="0.25">
      <c r="A180" s="14"/>
      <c r="B180" s="19"/>
    </row>
    <row r="181" spans="1:3" x14ac:dyDescent="0.25">
      <c r="A181" s="7" t="s">
        <v>14</v>
      </c>
      <c r="B181" s="2"/>
    </row>
    <row r="182" spans="1:3" x14ac:dyDescent="0.25">
      <c r="A182" s="8">
        <v>100</v>
      </c>
      <c r="B182" s="8">
        <v>1</v>
      </c>
      <c r="C182" s="20"/>
    </row>
    <row r="183" spans="1:3" x14ac:dyDescent="0.25">
      <c r="A183" s="9"/>
      <c r="B183" s="17">
        <v>0.96507000000000009</v>
      </c>
    </row>
    <row r="184" spans="1:3" x14ac:dyDescent="0.25">
      <c r="A184" s="10" t="s">
        <v>16</v>
      </c>
      <c r="B184" s="18">
        <v>2200</v>
      </c>
    </row>
    <row r="185" spans="1:3" x14ac:dyDescent="0.25">
      <c r="A185" s="11" t="s">
        <v>1</v>
      </c>
      <c r="B185">
        <v>0.96507000000000009</v>
      </c>
    </row>
    <row r="186" spans="1:3" x14ac:dyDescent="0.25">
      <c r="A186" s="12" t="s">
        <v>2</v>
      </c>
      <c r="B186">
        <v>0.78731999999999991</v>
      </c>
    </row>
    <row r="187" spans="1:3" x14ac:dyDescent="0.25">
      <c r="A187" s="12" t="s">
        <v>3</v>
      </c>
      <c r="B187">
        <v>0.52797000000000005</v>
      </c>
    </row>
    <row r="188" spans="1:3" x14ac:dyDescent="0.25">
      <c r="A188" s="12" t="s">
        <v>10</v>
      </c>
      <c r="B188">
        <v>0.76882000000000006</v>
      </c>
    </row>
    <row r="189" spans="1:3" x14ac:dyDescent="0.25">
      <c r="A189" s="12" t="s">
        <v>11</v>
      </c>
      <c r="B189">
        <v>0.87416000000000005</v>
      </c>
    </row>
    <row r="190" spans="1:3" x14ac:dyDescent="0.25">
      <c r="A190" s="12" t="s">
        <v>6</v>
      </c>
      <c r="B190">
        <v>0.71521000000000001</v>
      </c>
    </row>
    <row r="191" spans="1:3" x14ac:dyDescent="0.25">
      <c r="A191" s="12" t="s">
        <v>7</v>
      </c>
      <c r="B191">
        <v>0.76648999999999989</v>
      </c>
    </row>
    <row r="192" spans="1:3" x14ac:dyDescent="0.25">
      <c r="A192" s="12" t="s">
        <v>8</v>
      </c>
      <c r="B192">
        <v>0.8192299999999999</v>
      </c>
    </row>
    <row r="193" spans="1:2" x14ac:dyDescent="0.25">
      <c r="A193" s="8">
        <v>100</v>
      </c>
      <c r="B193" s="17">
        <v>1</v>
      </c>
    </row>
    <row r="194" spans="1:2" x14ac:dyDescent="0.25">
      <c r="A194" s="9"/>
      <c r="B194" s="17">
        <v>0.98873</v>
      </c>
    </row>
    <row r="195" spans="1:2" x14ac:dyDescent="0.25">
      <c r="A195" s="10" t="s">
        <v>17</v>
      </c>
      <c r="B195" s="18">
        <v>2200</v>
      </c>
    </row>
    <row r="196" spans="1:2" x14ac:dyDescent="0.25">
      <c r="A196" s="12" t="s">
        <v>1</v>
      </c>
      <c r="B196">
        <v>0.80279000000000011</v>
      </c>
    </row>
    <row r="197" spans="1:2" x14ac:dyDescent="0.25">
      <c r="A197" s="11" t="s">
        <v>2</v>
      </c>
      <c r="B197">
        <v>0.98873</v>
      </c>
    </row>
    <row r="198" spans="1:2" x14ac:dyDescent="0.25">
      <c r="A198" s="12" t="s">
        <v>3</v>
      </c>
      <c r="B198">
        <v>0.69342999999999999</v>
      </c>
    </row>
    <row r="199" spans="1:2" x14ac:dyDescent="0.25">
      <c r="A199" s="12" t="s">
        <v>10</v>
      </c>
      <c r="B199">
        <v>0.5576000000000001</v>
      </c>
    </row>
    <row r="200" spans="1:2" x14ac:dyDescent="0.25">
      <c r="A200" s="12" t="s">
        <v>11</v>
      </c>
      <c r="B200">
        <v>0.7920799999999999</v>
      </c>
    </row>
    <row r="201" spans="1:2" x14ac:dyDescent="0.25">
      <c r="A201" s="12" t="s">
        <v>6</v>
      </c>
      <c r="B201">
        <v>0.59426999999999996</v>
      </c>
    </row>
    <row r="202" spans="1:2" x14ac:dyDescent="0.25">
      <c r="A202" s="12" t="s">
        <v>7</v>
      </c>
      <c r="B202">
        <v>0.62781999999999993</v>
      </c>
    </row>
    <row r="203" spans="1:2" x14ac:dyDescent="0.25">
      <c r="A203" s="12" t="s">
        <v>8</v>
      </c>
      <c r="B203">
        <v>0.75731999999999999</v>
      </c>
    </row>
    <row r="204" spans="1:2" x14ac:dyDescent="0.25">
      <c r="A204" s="8">
        <v>100</v>
      </c>
      <c r="B204" s="17">
        <v>1</v>
      </c>
    </row>
    <row r="205" spans="1:2" x14ac:dyDescent="0.25">
      <c r="A205" s="9"/>
      <c r="B205" s="17">
        <v>0.94001000000000001</v>
      </c>
    </row>
    <row r="206" spans="1:2" x14ac:dyDescent="0.25">
      <c r="A206" s="10" t="s">
        <v>18</v>
      </c>
      <c r="B206" s="18">
        <v>2200</v>
      </c>
    </row>
    <row r="207" spans="1:2" x14ac:dyDescent="0.25">
      <c r="A207" s="12" t="s">
        <v>1</v>
      </c>
      <c r="B207">
        <v>0.30996999999999997</v>
      </c>
    </row>
    <row r="208" spans="1:2" x14ac:dyDescent="0.25">
      <c r="A208" s="12" t="s">
        <v>2</v>
      </c>
      <c r="B208">
        <v>0.55768000000000006</v>
      </c>
    </row>
    <row r="209" spans="1:2" x14ac:dyDescent="0.25">
      <c r="A209" s="11" t="s">
        <v>3</v>
      </c>
      <c r="B209">
        <v>0.94001000000000001</v>
      </c>
    </row>
    <row r="210" spans="1:2" x14ac:dyDescent="0.25">
      <c r="A210" s="12" t="s">
        <v>10</v>
      </c>
      <c r="B210">
        <v>0.41525000000000001</v>
      </c>
    </row>
    <row r="211" spans="1:2" x14ac:dyDescent="0.25">
      <c r="A211" s="12" t="s">
        <v>11</v>
      </c>
      <c r="B211">
        <v>0.44596999999999998</v>
      </c>
    </row>
    <row r="212" spans="1:2" x14ac:dyDescent="0.25">
      <c r="A212" s="12" t="s">
        <v>6</v>
      </c>
      <c r="B212">
        <v>0.49350000000000005</v>
      </c>
    </row>
    <row r="213" spans="1:2" x14ac:dyDescent="0.25">
      <c r="A213" s="12" t="s">
        <v>7</v>
      </c>
      <c r="B213">
        <v>0.57226999999999995</v>
      </c>
    </row>
    <row r="214" spans="1:2" x14ac:dyDescent="0.25">
      <c r="A214" s="12" t="s">
        <v>8</v>
      </c>
      <c r="B214">
        <v>0.40082000000000007</v>
      </c>
    </row>
    <row r="215" spans="1:2" x14ac:dyDescent="0.25">
      <c r="A215" s="8">
        <v>100</v>
      </c>
      <c r="B215" s="17">
        <v>1</v>
      </c>
    </row>
    <row r="216" spans="1:2" x14ac:dyDescent="0.25">
      <c r="A216" s="9"/>
      <c r="B216" s="17">
        <v>0.92172999999999994</v>
      </c>
    </row>
    <row r="217" spans="1:2" x14ac:dyDescent="0.25">
      <c r="A217" s="10" t="s">
        <v>19</v>
      </c>
      <c r="B217" s="18">
        <v>2200</v>
      </c>
    </row>
    <row r="218" spans="1:2" x14ac:dyDescent="0.25">
      <c r="A218" s="12" t="s">
        <v>1</v>
      </c>
      <c r="B218">
        <v>0.25451999999999997</v>
      </c>
    </row>
    <row r="219" spans="1:2" x14ac:dyDescent="0.25">
      <c r="A219" s="12" t="s">
        <v>2</v>
      </c>
      <c r="B219">
        <v>0.52413999999999994</v>
      </c>
    </row>
    <row r="220" spans="1:2" x14ac:dyDescent="0.25">
      <c r="A220" s="12" t="s">
        <v>3</v>
      </c>
      <c r="B220">
        <v>0.64459999999999984</v>
      </c>
    </row>
    <row r="221" spans="1:2" x14ac:dyDescent="0.25">
      <c r="A221" s="11" t="s">
        <v>10</v>
      </c>
      <c r="B221">
        <v>0.92172999999999994</v>
      </c>
    </row>
    <row r="222" spans="1:2" x14ac:dyDescent="0.25">
      <c r="A222" s="15" t="s">
        <v>11</v>
      </c>
      <c r="B222">
        <v>0.80938999999999994</v>
      </c>
    </row>
    <row r="223" spans="1:2" x14ac:dyDescent="0.25">
      <c r="A223" s="16" t="s">
        <v>6</v>
      </c>
      <c r="B223">
        <v>0.76907999999999999</v>
      </c>
    </row>
    <row r="224" spans="1:2" x14ac:dyDescent="0.25">
      <c r="A224" s="12" t="s">
        <v>7</v>
      </c>
      <c r="B224">
        <v>0.61680000000000013</v>
      </c>
    </row>
    <row r="225" spans="1:2" x14ac:dyDescent="0.25">
      <c r="A225" s="12" t="s">
        <v>8</v>
      </c>
      <c r="B225">
        <v>0.18127999999999997</v>
      </c>
    </row>
    <row r="226" spans="1:2" x14ac:dyDescent="0.25">
      <c r="A226" s="8">
        <v>100</v>
      </c>
      <c r="B226" s="17">
        <v>1</v>
      </c>
    </row>
    <row r="227" spans="1:2" x14ac:dyDescent="0.25">
      <c r="A227" s="9"/>
      <c r="B227" s="17">
        <v>0.91839000000000015</v>
      </c>
    </row>
    <row r="228" spans="1:2" x14ac:dyDescent="0.25">
      <c r="A228" s="10" t="s">
        <v>20</v>
      </c>
      <c r="B228" s="18">
        <v>2200</v>
      </c>
    </row>
    <row r="229" spans="1:2" x14ac:dyDescent="0.25">
      <c r="A229" s="12" t="s">
        <v>1</v>
      </c>
      <c r="B229">
        <v>0.57388000000000006</v>
      </c>
    </row>
    <row r="230" spans="1:2" x14ac:dyDescent="0.25">
      <c r="A230" s="12" t="s">
        <v>2</v>
      </c>
      <c r="B230">
        <v>0.64327000000000001</v>
      </c>
    </row>
    <row r="231" spans="1:2" x14ac:dyDescent="0.25">
      <c r="A231" s="12" t="s">
        <v>3</v>
      </c>
      <c r="B231">
        <v>0.6039199999999999</v>
      </c>
    </row>
    <row r="232" spans="1:2" x14ac:dyDescent="0.25">
      <c r="A232" s="12" t="s">
        <v>10</v>
      </c>
      <c r="B232">
        <v>0.70094999999999996</v>
      </c>
    </row>
    <row r="233" spans="1:2" x14ac:dyDescent="0.25">
      <c r="A233" s="11" t="s">
        <v>11</v>
      </c>
      <c r="B233">
        <v>0.91839000000000015</v>
      </c>
    </row>
    <row r="234" spans="1:2" x14ac:dyDescent="0.25">
      <c r="A234" s="15" t="s">
        <v>6</v>
      </c>
      <c r="B234">
        <v>0.76750999999999991</v>
      </c>
    </row>
    <row r="235" spans="1:2" x14ac:dyDescent="0.25">
      <c r="A235" s="12" t="s">
        <v>7</v>
      </c>
      <c r="B235">
        <v>0.6613</v>
      </c>
    </row>
    <row r="236" spans="1:2" x14ac:dyDescent="0.25">
      <c r="A236" s="12" t="s">
        <v>8</v>
      </c>
      <c r="B236">
        <v>0.34606000000000003</v>
      </c>
    </row>
    <row r="237" spans="1:2" x14ac:dyDescent="0.25">
      <c r="A237" s="8">
        <v>100</v>
      </c>
      <c r="B237" s="17">
        <v>1</v>
      </c>
    </row>
    <row r="238" spans="1:2" x14ac:dyDescent="0.25">
      <c r="A238" s="9"/>
      <c r="B238" s="17">
        <v>0.90150000000000008</v>
      </c>
    </row>
    <row r="239" spans="1:2" x14ac:dyDescent="0.25">
      <c r="A239" s="10" t="s">
        <v>21</v>
      </c>
      <c r="B239" s="18">
        <v>2200</v>
      </c>
    </row>
    <row r="240" spans="1:2" x14ac:dyDescent="0.25">
      <c r="A240" s="12" t="s">
        <v>1</v>
      </c>
      <c r="B240">
        <v>0.4941799999999999</v>
      </c>
    </row>
    <row r="241" spans="1:2" x14ac:dyDescent="0.25">
      <c r="A241" s="12" t="s">
        <v>2</v>
      </c>
      <c r="B241">
        <v>0.39659999999999995</v>
      </c>
    </row>
    <row r="242" spans="1:2" x14ac:dyDescent="0.25">
      <c r="A242" s="12" t="s">
        <v>3</v>
      </c>
      <c r="B242">
        <v>0.50459999999999994</v>
      </c>
    </row>
    <row r="243" spans="1:2" x14ac:dyDescent="0.25">
      <c r="A243" s="12" t="s">
        <v>10</v>
      </c>
      <c r="B243">
        <v>0.40565000000000007</v>
      </c>
    </row>
    <row r="244" spans="1:2" x14ac:dyDescent="0.25">
      <c r="A244" s="12" t="s">
        <v>11</v>
      </c>
      <c r="B244">
        <v>0.42533000000000004</v>
      </c>
    </row>
    <row r="245" spans="1:2" x14ac:dyDescent="0.25">
      <c r="A245" s="11" t="s">
        <v>6</v>
      </c>
      <c r="B245">
        <v>0.90150000000000008</v>
      </c>
    </row>
    <row r="246" spans="1:2" x14ac:dyDescent="0.25">
      <c r="A246" s="12" t="s">
        <v>7</v>
      </c>
      <c r="B246">
        <v>0.36594999999999989</v>
      </c>
    </row>
    <row r="247" spans="1:2" x14ac:dyDescent="0.25">
      <c r="A247" s="12" t="s">
        <v>8</v>
      </c>
      <c r="B247">
        <v>0.19511000000000003</v>
      </c>
    </row>
    <row r="248" spans="1:2" x14ac:dyDescent="0.25">
      <c r="A248" s="8">
        <v>100</v>
      </c>
      <c r="B248" s="17">
        <v>1</v>
      </c>
    </row>
    <row r="249" spans="1:2" x14ac:dyDescent="0.25">
      <c r="A249" s="9"/>
      <c r="B249" s="17">
        <v>0.98265999999999987</v>
      </c>
    </row>
    <row r="250" spans="1:2" x14ac:dyDescent="0.25">
      <c r="A250" s="10" t="s">
        <v>22</v>
      </c>
      <c r="B250" s="18">
        <v>2200</v>
      </c>
    </row>
    <row r="251" spans="1:2" x14ac:dyDescent="0.25">
      <c r="A251" s="12" t="s">
        <v>1</v>
      </c>
      <c r="B251">
        <v>0.73319000000000001</v>
      </c>
    </row>
    <row r="252" spans="1:2" x14ac:dyDescent="0.25">
      <c r="A252" s="12" t="s">
        <v>2</v>
      </c>
      <c r="B252">
        <v>0.72836000000000001</v>
      </c>
    </row>
    <row r="253" spans="1:2" x14ac:dyDescent="0.25">
      <c r="A253" s="12" t="s">
        <v>3</v>
      </c>
      <c r="B253">
        <v>0.51462999999999981</v>
      </c>
    </row>
    <row r="254" spans="1:2" x14ac:dyDescent="0.25">
      <c r="A254" s="12" t="s">
        <v>10</v>
      </c>
      <c r="B254">
        <v>0.79466999999999999</v>
      </c>
    </row>
    <row r="255" spans="1:2" x14ac:dyDescent="0.25">
      <c r="A255" s="12" t="s">
        <v>11</v>
      </c>
      <c r="B255">
        <v>0.83645999999999998</v>
      </c>
    </row>
    <row r="256" spans="1:2" x14ac:dyDescent="0.25">
      <c r="A256" s="12" t="s">
        <v>6</v>
      </c>
      <c r="B256">
        <v>0.75786999999999982</v>
      </c>
    </row>
    <row r="257" spans="1:3" x14ac:dyDescent="0.25">
      <c r="A257" s="11" t="s">
        <v>7</v>
      </c>
      <c r="B257">
        <v>0.98265999999999987</v>
      </c>
    </row>
    <row r="258" spans="1:3" x14ac:dyDescent="0.25">
      <c r="A258" s="12" t="s">
        <v>8</v>
      </c>
      <c r="B258">
        <v>0.43649000000000004</v>
      </c>
    </row>
    <row r="259" spans="1:3" x14ac:dyDescent="0.25">
      <c r="A259" s="8">
        <v>100</v>
      </c>
      <c r="B259" s="17">
        <v>1</v>
      </c>
    </row>
    <row r="260" spans="1:3" x14ac:dyDescent="0.25">
      <c r="A260" s="9"/>
      <c r="B260" s="17">
        <v>0.99820000000000009</v>
      </c>
    </row>
    <row r="261" spans="1:3" x14ac:dyDescent="0.25">
      <c r="A261" s="10" t="s">
        <v>23</v>
      </c>
      <c r="B261" s="18">
        <v>2200</v>
      </c>
    </row>
    <row r="262" spans="1:3" x14ac:dyDescent="0.25">
      <c r="A262" s="12" t="s">
        <v>1</v>
      </c>
      <c r="B262">
        <v>0.73800999999999994</v>
      </c>
    </row>
    <row r="263" spans="1:3" x14ac:dyDescent="0.25">
      <c r="A263" s="12" t="s">
        <v>2</v>
      </c>
      <c r="B263">
        <v>0.51632000000000011</v>
      </c>
    </row>
    <row r="264" spans="1:3" x14ac:dyDescent="0.25">
      <c r="A264" s="12" t="s">
        <v>3</v>
      </c>
      <c r="B264">
        <v>0.23010000000000003</v>
      </c>
    </row>
    <row r="265" spans="1:3" x14ac:dyDescent="0.25">
      <c r="A265" s="12" t="s">
        <v>10</v>
      </c>
      <c r="B265">
        <v>0.32197999999999999</v>
      </c>
    </row>
    <row r="266" spans="1:3" x14ac:dyDescent="0.25">
      <c r="A266" s="12" t="s">
        <v>11</v>
      </c>
      <c r="B266">
        <v>0.60172000000000003</v>
      </c>
    </row>
    <row r="267" spans="1:3" x14ac:dyDescent="0.25">
      <c r="A267" s="12" t="s">
        <v>6</v>
      </c>
      <c r="B267">
        <v>0.33998</v>
      </c>
    </row>
    <row r="268" spans="1:3" x14ac:dyDescent="0.25">
      <c r="A268" s="12" t="s">
        <v>7</v>
      </c>
      <c r="B268">
        <v>0.60840000000000005</v>
      </c>
    </row>
    <row r="269" spans="1:3" x14ac:dyDescent="0.25">
      <c r="A269" s="11" t="s">
        <v>8</v>
      </c>
      <c r="B269">
        <v>0.99820000000000009</v>
      </c>
    </row>
    <row r="270" spans="1:3" x14ac:dyDescent="0.25">
      <c r="A270" s="14"/>
      <c r="B270" s="19"/>
    </row>
    <row r="271" spans="1:3" x14ac:dyDescent="0.25">
      <c r="A271" s="7" t="s">
        <v>15</v>
      </c>
      <c r="B271" s="2"/>
    </row>
    <row r="272" spans="1:3" x14ac:dyDescent="0.25">
      <c r="A272" s="8">
        <v>100</v>
      </c>
      <c r="B272" s="8">
        <v>1</v>
      </c>
      <c r="C272" s="20"/>
    </row>
    <row r="273" spans="1:2" x14ac:dyDescent="0.25">
      <c r="A273" s="9"/>
      <c r="B273" s="17">
        <v>0.97774000000000005</v>
      </c>
    </row>
    <row r="274" spans="1:2" x14ac:dyDescent="0.25">
      <c r="A274" s="10" t="s">
        <v>16</v>
      </c>
      <c r="B274" s="18">
        <v>2200</v>
      </c>
    </row>
    <row r="275" spans="1:2" x14ac:dyDescent="0.25">
      <c r="A275" s="11" t="s">
        <v>1</v>
      </c>
      <c r="B275">
        <v>0.97774000000000005</v>
      </c>
    </row>
    <row r="276" spans="1:2" x14ac:dyDescent="0.25">
      <c r="A276" s="12" t="s">
        <v>2</v>
      </c>
      <c r="B276">
        <v>0.79581999999999986</v>
      </c>
    </row>
    <row r="277" spans="1:2" x14ac:dyDescent="0.25">
      <c r="A277" s="12" t="s">
        <v>3</v>
      </c>
      <c r="B277">
        <v>0.45314000000000004</v>
      </c>
    </row>
    <row r="278" spans="1:2" x14ac:dyDescent="0.25">
      <c r="A278" s="12" t="s">
        <v>10</v>
      </c>
      <c r="B278">
        <v>0.70369999999999999</v>
      </c>
    </row>
    <row r="279" spans="1:2" x14ac:dyDescent="0.25">
      <c r="A279" s="12" t="s">
        <v>11</v>
      </c>
      <c r="B279">
        <v>0.68071000000000004</v>
      </c>
    </row>
    <row r="280" spans="1:2" x14ac:dyDescent="0.25">
      <c r="A280" s="12" t="s">
        <v>6</v>
      </c>
      <c r="B280">
        <v>0.8253299999999999</v>
      </c>
    </row>
    <row r="281" spans="1:2" x14ac:dyDescent="0.25">
      <c r="A281" s="12" t="s">
        <v>7</v>
      </c>
      <c r="B281">
        <v>0.77134000000000003</v>
      </c>
    </row>
    <row r="282" spans="1:2" x14ac:dyDescent="0.25">
      <c r="A282" s="12" t="s">
        <v>8</v>
      </c>
      <c r="B282">
        <v>0.75424000000000002</v>
      </c>
    </row>
    <row r="283" spans="1:2" x14ac:dyDescent="0.25">
      <c r="A283" s="8">
        <v>100</v>
      </c>
      <c r="B283" s="17">
        <v>1</v>
      </c>
    </row>
    <row r="284" spans="1:2" x14ac:dyDescent="0.25">
      <c r="A284" s="9"/>
      <c r="B284" s="17">
        <v>0.98040000000000005</v>
      </c>
    </row>
    <row r="285" spans="1:2" x14ac:dyDescent="0.25">
      <c r="A285" s="10" t="s">
        <v>17</v>
      </c>
      <c r="B285" s="18">
        <v>2200</v>
      </c>
    </row>
    <row r="286" spans="1:2" x14ac:dyDescent="0.25">
      <c r="A286" s="12" t="s">
        <v>1</v>
      </c>
      <c r="B286">
        <v>0.67079</v>
      </c>
    </row>
    <row r="287" spans="1:2" x14ac:dyDescent="0.25">
      <c r="A287" s="11" t="s">
        <v>2</v>
      </c>
      <c r="B287">
        <v>0.98040000000000005</v>
      </c>
    </row>
    <row r="288" spans="1:2" x14ac:dyDescent="0.25">
      <c r="A288" s="12" t="s">
        <v>3</v>
      </c>
      <c r="B288">
        <v>0.67244000000000004</v>
      </c>
    </row>
    <row r="289" spans="1:2" x14ac:dyDescent="0.25">
      <c r="A289" s="12" t="s">
        <v>10</v>
      </c>
      <c r="B289">
        <v>0.55711999999999995</v>
      </c>
    </row>
    <row r="290" spans="1:2" x14ac:dyDescent="0.25">
      <c r="A290" s="12" t="s">
        <v>11</v>
      </c>
      <c r="B290">
        <v>0.64166999999999996</v>
      </c>
    </row>
    <row r="291" spans="1:2" x14ac:dyDescent="0.25">
      <c r="A291" s="12" t="s">
        <v>6</v>
      </c>
      <c r="B291">
        <v>0.70811000000000013</v>
      </c>
    </row>
    <row r="292" spans="1:2" x14ac:dyDescent="0.25">
      <c r="A292" s="12" t="s">
        <v>7</v>
      </c>
      <c r="B292">
        <v>0.70246000000000008</v>
      </c>
    </row>
    <row r="293" spans="1:2" x14ac:dyDescent="0.25">
      <c r="A293" s="12" t="s">
        <v>8</v>
      </c>
      <c r="B293">
        <v>0.67150999999999994</v>
      </c>
    </row>
    <row r="294" spans="1:2" x14ac:dyDescent="0.25">
      <c r="A294" s="8">
        <v>100</v>
      </c>
      <c r="B294" s="17">
        <v>1</v>
      </c>
    </row>
    <row r="295" spans="1:2" x14ac:dyDescent="0.25">
      <c r="A295" s="9"/>
      <c r="B295" s="17">
        <v>0.92845000000000011</v>
      </c>
    </row>
    <row r="296" spans="1:2" x14ac:dyDescent="0.25">
      <c r="A296" s="10" t="s">
        <v>18</v>
      </c>
      <c r="B296" s="18">
        <v>2200</v>
      </c>
    </row>
    <row r="297" spans="1:2" x14ac:dyDescent="0.25">
      <c r="A297" s="12" t="s">
        <v>1</v>
      </c>
      <c r="B297">
        <v>0.34055999999999997</v>
      </c>
    </row>
    <row r="298" spans="1:2" x14ac:dyDescent="0.25">
      <c r="A298" s="12" t="s">
        <v>2</v>
      </c>
      <c r="B298">
        <v>0.67240999999999995</v>
      </c>
    </row>
    <row r="299" spans="1:2" x14ac:dyDescent="0.25">
      <c r="A299" s="11" t="s">
        <v>3</v>
      </c>
      <c r="B299">
        <v>0.92845000000000011</v>
      </c>
    </row>
    <row r="300" spans="1:2" x14ac:dyDescent="0.25">
      <c r="A300" s="12" t="s">
        <v>10</v>
      </c>
      <c r="B300">
        <v>0.42230000000000001</v>
      </c>
    </row>
    <row r="301" spans="1:2" x14ac:dyDescent="0.25">
      <c r="A301" s="12" t="s">
        <v>11</v>
      </c>
      <c r="B301">
        <v>0.43484</v>
      </c>
    </row>
    <row r="302" spans="1:2" x14ac:dyDescent="0.25">
      <c r="A302" s="12" t="s">
        <v>6</v>
      </c>
      <c r="B302">
        <v>0.52035999999999993</v>
      </c>
    </row>
    <row r="303" spans="1:2" x14ac:dyDescent="0.25">
      <c r="A303" s="12" t="s">
        <v>7</v>
      </c>
      <c r="B303">
        <v>0.52746999999999988</v>
      </c>
    </row>
    <row r="304" spans="1:2" x14ac:dyDescent="0.25">
      <c r="A304" s="12" t="s">
        <v>8</v>
      </c>
      <c r="B304">
        <v>0.45667999999999997</v>
      </c>
    </row>
    <row r="305" spans="1:2" x14ac:dyDescent="0.25">
      <c r="A305" s="8">
        <v>98</v>
      </c>
      <c r="B305" s="17">
        <v>1</v>
      </c>
    </row>
    <row r="306" spans="1:2" x14ac:dyDescent="0.25">
      <c r="A306" s="9"/>
      <c r="B306" s="17">
        <v>0.91139000000000014</v>
      </c>
    </row>
    <row r="307" spans="1:2" x14ac:dyDescent="0.25">
      <c r="A307" s="10" t="s">
        <v>19</v>
      </c>
      <c r="B307" s="18">
        <v>2200</v>
      </c>
    </row>
    <row r="308" spans="1:2" x14ac:dyDescent="0.25">
      <c r="A308" s="12" t="s">
        <v>1</v>
      </c>
      <c r="B308">
        <v>0.43752000000000002</v>
      </c>
    </row>
    <row r="309" spans="1:2" x14ac:dyDescent="0.25">
      <c r="A309" s="12" t="s">
        <v>2</v>
      </c>
      <c r="B309">
        <v>0.64064999999999994</v>
      </c>
    </row>
    <row r="310" spans="1:2" x14ac:dyDescent="0.25">
      <c r="A310" s="13" t="s">
        <v>3</v>
      </c>
      <c r="B310">
        <v>0.77045000000000008</v>
      </c>
    </row>
    <row r="311" spans="1:2" x14ac:dyDescent="0.25">
      <c r="A311" s="11" t="s">
        <v>10</v>
      </c>
      <c r="B311">
        <v>0.91139000000000014</v>
      </c>
    </row>
    <row r="312" spans="1:2" x14ac:dyDescent="0.25">
      <c r="A312" s="15" t="s">
        <v>11</v>
      </c>
      <c r="B312">
        <v>0.71374999999999988</v>
      </c>
    </row>
    <row r="313" spans="1:2" x14ac:dyDescent="0.25">
      <c r="A313" s="16" t="s">
        <v>6</v>
      </c>
      <c r="B313">
        <v>0.81999</v>
      </c>
    </row>
    <row r="314" spans="1:2" x14ac:dyDescent="0.25">
      <c r="A314" s="12" t="s">
        <v>7</v>
      </c>
      <c r="B314">
        <v>0.71741999999999995</v>
      </c>
    </row>
    <row r="315" spans="1:2" x14ac:dyDescent="0.25">
      <c r="A315" s="12" t="s">
        <v>8</v>
      </c>
      <c r="B315">
        <v>0.26508999999999999</v>
      </c>
    </row>
    <row r="316" spans="1:2" x14ac:dyDescent="0.25">
      <c r="A316" s="8">
        <v>100</v>
      </c>
      <c r="B316" s="17">
        <v>1</v>
      </c>
    </row>
    <row r="317" spans="1:2" x14ac:dyDescent="0.25">
      <c r="A317" s="9"/>
      <c r="B317" s="17">
        <v>0.97934999999999994</v>
      </c>
    </row>
    <row r="318" spans="1:2" x14ac:dyDescent="0.25">
      <c r="A318" s="10" t="s">
        <v>20</v>
      </c>
      <c r="B318" s="18">
        <v>2200</v>
      </c>
    </row>
    <row r="319" spans="1:2" x14ac:dyDescent="0.25">
      <c r="A319" s="12" t="s">
        <v>1</v>
      </c>
      <c r="B319">
        <v>0.56323000000000001</v>
      </c>
    </row>
    <row r="320" spans="1:2" x14ac:dyDescent="0.25">
      <c r="A320" s="12" t="s">
        <v>2</v>
      </c>
      <c r="B320">
        <v>0.74934999999999996</v>
      </c>
    </row>
    <row r="321" spans="1:2" x14ac:dyDescent="0.25">
      <c r="A321" s="12" t="s">
        <v>3</v>
      </c>
      <c r="B321">
        <v>0.68189000000000011</v>
      </c>
    </row>
    <row r="322" spans="1:2" x14ac:dyDescent="0.25">
      <c r="A322" s="12" t="s">
        <v>10</v>
      </c>
      <c r="B322">
        <v>0.86853000000000002</v>
      </c>
    </row>
    <row r="323" spans="1:2" x14ac:dyDescent="0.25">
      <c r="A323" s="11" t="s">
        <v>11</v>
      </c>
      <c r="B323">
        <v>0.97934999999999994</v>
      </c>
    </row>
    <row r="324" spans="1:2" x14ac:dyDescent="0.25">
      <c r="A324" s="15" t="s">
        <v>6</v>
      </c>
      <c r="B324">
        <v>0.87965000000000004</v>
      </c>
    </row>
    <row r="325" spans="1:2" x14ac:dyDescent="0.25">
      <c r="A325" s="12" t="s">
        <v>7</v>
      </c>
      <c r="B325">
        <v>0.67388000000000003</v>
      </c>
    </row>
    <row r="326" spans="1:2" x14ac:dyDescent="0.25">
      <c r="A326" s="12" t="s">
        <v>8</v>
      </c>
      <c r="B326">
        <v>0.42713999999999996</v>
      </c>
    </row>
    <row r="327" spans="1:2" x14ac:dyDescent="0.25">
      <c r="A327" s="8">
        <v>100</v>
      </c>
      <c r="B327" s="17">
        <v>1</v>
      </c>
    </row>
    <row r="328" spans="1:2" x14ac:dyDescent="0.25">
      <c r="A328" s="9"/>
      <c r="B328" s="17">
        <v>0.93309999999999993</v>
      </c>
    </row>
    <row r="329" spans="1:2" x14ac:dyDescent="0.25">
      <c r="A329" s="10" t="s">
        <v>21</v>
      </c>
      <c r="B329" s="18">
        <v>2200</v>
      </c>
    </row>
    <row r="330" spans="1:2" x14ac:dyDescent="0.25">
      <c r="A330" s="12" t="s">
        <v>1</v>
      </c>
      <c r="B330">
        <v>0.50120000000000009</v>
      </c>
    </row>
    <row r="331" spans="1:2" x14ac:dyDescent="0.25">
      <c r="A331" s="12" t="s">
        <v>2</v>
      </c>
      <c r="B331">
        <v>0.56464999999999999</v>
      </c>
    </row>
    <row r="332" spans="1:2" x14ac:dyDescent="0.25">
      <c r="A332" s="12" t="s">
        <v>3</v>
      </c>
      <c r="B332">
        <v>0.45708000000000004</v>
      </c>
    </row>
    <row r="333" spans="1:2" x14ac:dyDescent="0.25">
      <c r="A333" s="12" t="s">
        <v>10</v>
      </c>
      <c r="B333">
        <v>0.62707000000000002</v>
      </c>
    </row>
    <row r="334" spans="1:2" x14ac:dyDescent="0.25">
      <c r="A334" s="12" t="s">
        <v>11</v>
      </c>
      <c r="B334">
        <v>0.61890000000000012</v>
      </c>
    </row>
    <row r="335" spans="1:2" x14ac:dyDescent="0.25">
      <c r="A335" s="11" t="s">
        <v>6</v>
      </c>
      <c r="B335">
        <v>0.93309999999999993</v>
      </c>
    </row>
    <row r="336" spans="1:2" x14ac:dyDescent="0.25">
      <c r="A336" s="12" t="s">
        <v>7</v>
      </c>
      <c r="B336">
        <v>0.46222000000000002</v>
      </c>
    </row>
    <row r="337" spans="1:2" x14ac:dyDescent="0.25">
      <c r="A337" s="12" t="s">
        <v>8</v>
      </c>
      <c r="B337">
        <v>0.32871</v>
      </c>
    </row>
    <row r="338" spans="1:2" x14ac:dyDescent="0.25">
      <c r="A338" s="8">
        <v>100</v>
      </c>
      <c r="B338" s="17">
        <v>1</v>
      </c>
    </row>
    <row r="339" spans="1:2" x14ac:dyDescent="0.25">
      <c r="A339" s="9"/>
      <c r="B339" s="17">
        <v>0.96544000000000008</v>
      </c>
    </row>
    <row r="340" spans="1:2" x14ac:dyDescent="0.25">
      <c r="A340" s="10" t="s">
        <v>22</v>
      </c>
      <c r="B340" s="18">
        <v>2200</v>
      </c>
    </row>
    <row r="341" spans="1:2" x14ac:dyDescent="0.25">
      <c r="A341" s="12" t="s">
        <v>1</v>
      </c>
      <c r="B341">
        <v>0.66838999999999993</v>
      </c>
    </row>
    <row r="342" spans="1:2" x14ac:dyDescent="0.25">
      <c r="A342" s="12" t="s">
        <v>2</v>
      </c>
      <c r="B342">
        <v>0.67618</v>
      </c>
    </row>
    <row r="343" spans="1:2" x14ac:dyDescent="0.25">
      <c r="A343" s="12" t="s">
        <v>3</v>
      </c>
      <c r="B343">
        <v>0.58534999999999993</v>
      </c>
    </row>
    <row r="344" spans="1:2" x14ac:dyDescent="0.25">
      <c r="A344" s="12" t="s">
        <v>10</v>
      </c>
      <c r="B344">
        <v>0.78552000000000011</v>
      </c>
    </row>
    <row r="345" spans="1:2" x14ac:dyDescent="0.25">
      <c r="A345" s="12" t="s">
        <v>11</v>
      </c>
      <c r="B345">
        <v>0.77806999999999993</v>
      </c>
    </row>
    <row r="346" spans="1:2" x14ac:dyDescent="0.25">
      <c r="A346" s="12" t="s">
        <v>6</v>
      </c>
      <c r="B346">
        <v>0.68524000000000007</v>
      </c>
    </row>
    <row r="347" spans="1:2" x14ac:dyDescent="0.25">
      <c r="A347" s="11" t="s">
        <v>7</v>
      </c>
      <c r="B347">
        <v>0.96544000000000008</v>
      </c>
    </row>
    <row r="348" spans="1:2" x14ac:dyDescent="0.25">
      <c r="A348" s="12" t="s">
        <v>8</v>
      </c>
      <c r="B348">
        <v>0.43952000000000002</v>
      </c>
    </row>
    <row r="349" spans="1:2" x14ac:dyDescent="0.25">
      <c r="A349" s="8">
        <v>100</v>
      </c>
      <c r="B349" s="17">
        <v>1</v>
      </c>
    </row>
    <row r="350" spans="1:2" x14ac:dyDescent="0.25">
      <c r="A350" s="9"/>
      <c r="B350" s="17">
        <v>0.99605999999999995</v>
      </c>
    </row>
    <row r="351" spans="1:2" x14ac:dyDescent="0.25">
      <c r="A351" s="10" t="s">
        <v>23</v>
      </c>
      <c r="B351" s="18">
        <v>2200</v>
      </c>
    </row>
    <row r="352" spans="1:2" x14ac:dyDescent="0.25">
      <c r="A352" s="12" t="s">
        <v>1</v>
      </c>
      <c r="B352">
        <v>0.53477000000000008</v>
      </c>
    </row>
    <row r="353" spans="1:2" x14ac:dyDescent="0.25">
      <c r="A353" s="12" t="s">
        <v>2</v>
      </c>
      <c r="B353">
        <v>0.37431000000000003</v>
      </c>
    </row>
    <row r="354" spans="1:2" x14ac:dyDescent="0.25">
      <c r="A354" s="12" t="s">
        <v>3</v>
      </c>
      <c r="B354">
        <v>0.27302999999999999</v>
      </c>
    </row>
    <row r="355" spans="1:2" x14ac:dyDescent="0.25">
      <c r="A355" s="12" t="s">
        <v>10</v>
      </c>
      <c r="B355">
        <v>0.17713999999999999</v>
      </c>
    </row>
    <row r="356" spans="1:2" x14ac:dyDescent="0.25">
      <c r="A356" s="12" t="s">
        <v>11</v>
      </c>
      <c r="B356">
        <v>0.33421000000000001</v>
      </c>
    </row>
    <row r="357" spans="1:2" x14ac:dyDescent="0.25">
      <c r="A357" s="12" t="s">
        <v>6</v>
      </c>
      <c r="B357">
        <v>0.19435000000000002</v>
      </c>
    </row>
    <row r="358" spans="1:2" x14ac:dyDescent="0.25">
      <c r="A358" s="12" t="s">
        <v>7</v>
      </c>
      <c r="B358">
        <v>0.56220000000000003</v>
      </c>
    </row>
    <row r="359" spans="1:2" x14ac:dyDescent="0.25">
      <c r="A359" s="11" t="s">
        <v>8</v>
      </c>
      <c r="B359">
        <v>0.99605999999999995</v>
      </c>
    </row>
    <row r="360" spans="1:2" x14ac:dyDescent="0.25">
      <c r="A360" s="14"/>
      <c r="B360" s="19"/>
    </row>
  </sheetData>
  <mergeCells count="4">
    <mergeCell ref="D1:E2"/>
    <mergeCell ref="D20:E21"/>
    <mergeCell ref="D39:E40"/>
    <mergeCell ref="D58:E59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07F47-E05E-40D3-A4F7-CE966E31E76C}">
  <dimension ref="A1:P12"/>
  <sheetViews>
    <sheetView workbookViewId="0">
      <selection activeCell="H21" sqref="H21"/>
    </sheetView>
  </sheetViews>
  <sheetFormatPr defaultRowHeight="16.5" x14ac:dyDescent="0.25"/>
  <sheetData>
    <row r="1" spans="1:16" x14ac:dyDescent="0.25">
      <c r="A1" s="24" t="s">
        <v>24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x14ac:dyDescent="0.25">
      <c r="A2" s="103" t="s">
        <v>25</v>
      </c>
      <c r="B2" s="103"/>
      <c r="C2" s="103"/>
      <c r="D2" s="21" t="s">
        <v>26</v>
      </c>
      <c r="E2" s="21" t="s">
        <v>27</v>
      </c>
      <c r="F2" s="21" t="s">
        <v>28</v>
      </c>
      <c r="G2" s="21" t="s">
        <v>29</v>
      </c>
    </row>
    <row r="3" spans="1:16" x14ac:dyDescent="0.25">
      <c r="A3" s="103"/>
      <c r="B3" s="103"/>
      <c r="C3" s="103"/>
      <c r="D3" s="22" t="s">
        <v>30</v>
      </c>
      <c r="E3" s="22" t="s">
        <v>30</v>
      </c>
      <c r="F3" s="22" t="s">
        <v>30</v>
      </c>
      <c r="G3" s="22" t="s">
        <v>30</v>
      </c>
    </row>
    <row r="4" spans="1:16" x14ac:dyDescent="0.25">
      <c r="A4" s="104" t="s">
        <v>31</v>
      </c>
      <c r="B4" s="104"/>
      <c r="C4" s="104"/>
      <c r="D4" s="21">
        <v>78.541650000000004</v>
      </c>
      <c r="E4" s="21">
        <v>92.375024999999994</v>
      </c>
      <c r="F4" s="21">
        <v>86.791674999999998</v>
      </c>
      <c r="G4" s="21">
        <v>90.25</v>
      </c>
    </row>
    <row r="5" spans="1:16" x14ac:dyDescent="0.25">
      <c r="A5" s="101" t="s">
        <v>32</v>
      </c>
      <c r="B5" s="101"/>
      <c r="C5" s="101"/>
      <c r="D5" s="21">
        <v>98.083349999999996</v>
      </c>
      <c r="E5" s="21">
        <v>97.583349999999996</v>
      </c>
      <c r="F5" s="21">
        <v>96.416674999999998</v>
      </c>
      <c r="G5" s="21">
        <v>95.208325000000002</v>
      </c>
    </row>
    <row r="6" spans="1:16" x14ac:dyDescent="0.25">
      <c r="A6" s="102" t="s">
        <v>33</v>
      </c>
      <c r="B6" s="102"/>
      <c r="C6" s="102"/>
      <c r="D6" s="21">
        <v>97.666650000000004</v>
      </c>
      <c r="E6" s="21">
        <v>98.166674999999998</v>
      </c>
      <c r="F6" s="21">
        <v>97.583325000000002</v>
      </c>
      <c r="G6" s="21">
        <v>98.333349999999996</v>
      </c>
    </row>
    <row r="7" spans="1:16" x14ac:dyDescent="0.25">
      <c r="A7" s="108" t="s">
        <v>34</v>
      </c>
      <c r="B7" s="108"/>
      <c r="C7" s="108"/>
      <c r="D7" s="21">
        <v>96.583325000000002</v>
      </c>
      <c r="E7" s="21">
        <v>97.291674999999998</v>
      </c>
      <c r="F7" s="21">
        <v>100</v>
      </c>
      <c r="G7" s="21">
        <v>99.291674999999998</v>
      </c>
    </row>
    <row r="8" spans="1:16" x14ac:dyDescent="0.25">
      <c r="A8" s="109" t="s">
        <v>35</v>
      </c>
      <c r="B8" s="109"/>
      <c r="C8" s="109"/>
      <c r="D8" s="21">
        <v>94.791674999999998</v>
      </c>
      <c r="E8" s="21">
        <v>99</v>
      </c>
      <c r="F8" s="21">
        <v>89.291674999999998</v>
      </c>
      <c r="G8" s="21">
        <v>92.291650000000004</v>
      </c>
    </row>
    <row r="9" spans="1:16" x14ac:dyDescent="0.25">
      <c r="A9" s="106" t="s">
        <v>36</v>
      </c>
      <c r="B9" s="106"/>
      <c r="C9" s="106"/>
      <c r="D9" s="21">
        <v>96.875</v>
      </c>
      <c r="E9" s="21">
        <v>98.083325000000002</v>
      </c>
      <c r="F9" s="21">
        <v>99.041650000000004</v>
      </c>
      <c r="G9" s="21">
        <v>83.000024999999994</v>
      </c>
    </row>
    <row r="10" spans="1:16" x14ac:dyDescent="0.25">
      <c r="A10" s="107" t="s">
        <v>37</v>
      </c>
      <c r="B10" s="107"/>
      <c r="C10" s="107"/>
      <c r="D10" s="21">
        <v>99.874975000000006</v>
      </c>
      <c r="E10" s="21">
        <v>99.5</v>
      </c>
      <c r="F10" s="21">
        <v>99.625</v>
      </c>
      <c r="G10" s="21">
        <v>94.33335000000001</v>
      </c>
    </row>
    <row r="11" spans="1:16" x14ac:dyDescent="0.25">
      <c r="A11" s="105" t="s">
        <v>38</v>
      </c>
      <c r="B11" s="105"/>
      <c r="C11" s="105"/>
      <c r="D11" s="21">
        <v>97.458349999999996</v>
      </c>
      <c r="E11" s="21">
        <v>98.583349999999996</v>
      </c>
      <c r="F11" s="21">
        <v>97.625</v>
      </c>
      <c r="G11" s="21">
        <v>92.125</v>
      </c>
    </row>
    <row r="12" spans="1:16" x14ac:dyDescent="0.25">
      <c r="A12" s="23"/>
      <c r="B12" s="23"/>
      <c r="C12" s="23"/>
      <c r="D12" s="23">
        <f>AVERAGE(D4:D11)</f>
        <v>94.984371875000008</v>
      </c>
      <c r="E12" s="23">
        <f>AVERAGE(E4:E11)</f>
        <v>97.572924999999998</v>
      </c>
      <c r="F12" s="23">
        <f>AVERAGE(F4:F11)</f>
        <v>95.796875</v>
      </c>
      <c r="G12" s="23">
        <f>AVERAGE(G4:G11)</f>
        <v>93.104171875000006</v>
      </c>
    </row>
  </sheetData>
  <mergeCells count="9">
    <mergeCell ref="A5:C5"/>
    <mergeCell ref="A6:C6"/>
    <mergeCell ref="A2:C3"/>
    <mergeCell ref="A4:C4"/>
    <mergeCell ref="A11:C11"/>
    <mergeCell ref="A9:C9"/>
    <mergeCell ref="A10:C10"/>
    <mergeCell ref="A7:C7"/>
    <mergeCell ref="A8:C8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FD6DD-E859-4830-871A-2C8BB9D69DA3}">
  <dimension ref="A1:BF72"/>
  <sheetViews>
    <sheetView topLeftCell="A37" zoomScale="55" zoomScaleNormal="55" workbookViewId="0">
      <selection activeCell="B58" sqref="B58:B72"/>
    </sheetView>
  </sheetViews>
  <sheetFormatPr defaultColWidth="8.875" defaultRowHeight="16.5" x14ac:dyDescent="0.25"/>
  <cols>
    <col min="1" max="16384" width="8.875" style="27"/>
  </cols>
  <sheetData>
    <row r="1" spans="1:58" x14ac:dyDescent="0.25">
      <c r="A1" s="110" t="s">
        <v>0</v>
      </c>
      <c r="B1" s="110"/>
      <c r="C1" s="25">
        <v>1</v>
      </c>
      <c r="D1" s="26"/>
      <c r="E1" s="25">
        <v>2</v>
      </c>
      <c r="F1" s="26"/>
      <c r="G1" s="25">
        <v>3</v>
      </c>
      <c r="H1" s="26"/>
      <c r="I1" s="25">
        <v>4</v>
      </c>
      <c r="J1" s="26"/>
      <c r="K1" s="25">
        <v>5</v>
      </c>
      <c r="L1" s="26"/>
      <c r="M1" s="25">
        <v>6</v>
      </c>
      <c r="N1" s="26"/>
      <c r="O1" s="25">
        <v>7</v>
      </c>
      <c r="P1" s="26"/>
      <c r="Q1" s="25">
        <v>1</v>
      </c>
      <c r="R1" s="26"/>
      <c r="S1" s="25">
        <v>2</v>
      </c>
      <c r="T1" s="26"/>
      <c r="U1" s="25">
        <v>3</v>
      </c>
      <c r="V1" s="26"/>
      <c r="W1" s="25">
        <v>4</v>
      </c>
      <c r="X1" s="26"/>
      <c r="Y1" s="25">
        <v>5</v>
      </c>
      <c r="Z1" s="26"/>
      <c r="AA1" s="25">
        <v>6</v>
      </c>
      <c r="AB1" s="26"/>
      <c r="AC1" s="25">
        <v>1</v>
      </c>
      <c r="AD1" s="26"/>
      <c r="AE1" s="25">
        <v>2</v>
      </c>
      <c r="AF1" s="26"/>
      <c r="AG1" s="25">
        <v>3</v>
      </c>
      <c r="AH1" s="26"/>
      <c r="AI1" s="25">
        <v>4</v>
      </c>
      <c r="AJ1" s="26"/>
      <c r="AK1" s="25">
        <v>5</v>
      </c>
      <c r="AL1" s="26"/>
      <c r="AM1" s="25">
        <v>1</v>
      </c>
      <c r="AN1" s="26"/>
      <c r="AO1" s="25">
        <v>2</v>
      </c>
      <c r="AP1" s="26"/>
      <c r="AQ1" s="25">
        <v>3</v>
      </c>
      <c r="AR1" s="26"/>
      <c r="AS1" s="25">
        <v>4</v>
      </c>
      <c r="AT1" s="26"/>
      <c r="AU1" s="25">
        <v>1</v>
      </c>
      <c r="AV1" s="26"/>
      <c r="AW1" s="25">
        <v>2</v>
      </c>
      <c r="AX1" s="26"/>
      <c r="AY1" s="25">
        <v>3</v>
      </c>
      <c r="AZ1" s="26"/>
      <c r="BA1" s="25">
        <v>1</v>
      </c>
      <c r="BB1" s="26"/>
      <c r="BC1" s="25">
        <v>2</v>
      </c>
      <c r="BD1" s="26"/>
      <c r="BE1" s="25">
        <v>1</v>
      </c>
      <c r="BF1" s="26"/>
    </row>
    <row r="2" spans="1:58" x14ac:dyDescent="0.25">
      <c r="A2" s="110"/>
      <c r="B2" s="110"/>
      <c r="C2" s="25" t="s">
        <v>1</v>
      </c>
      <c r="D2" s="26" t="s">
        <v>2</v>
      </c>
      <c r="E2" s="25" t="s">
        <v>1</v>
      </c>
      <c r="F2" s="26" t="s">
        <v>3</v>
      </c>
      <c r="G2" s="25" t="s">
        <v>1</v>
      </c>
      <c r="H2" s="26" t="s">
        <v>4</v>
      </c>
      <c r="I2" s="25" t="s">
        <v>1</v>
      </c>
      <c r="J2" s="26" t="s">
        <v>5</v>
      </c>
      <c r="K2" s="25" t="s">
        <v>1</v>
      </c>
      <c r="L2" s="26" t="s">
        <v>6</v>
      </c>
      <c r="M2" s="25" t="s">
        <v>1</v>
      </c>
      <c r="N2" s="26" t="s">
        <v>7</v>
      </c>
      <c r="O2" s="25" t="s">
        <v>1</v>
      </c>
      <c r="P2" s="26" t="s">
        <v>8</v>
      </c>
      <c r="Q2" s="28" t="s">
        <v>9</v>
      </c>
      <c r="R2" s="29" t="s">
        <v>3</v>
      </c>
      <c r="S2" s="28" t="s">
        <v>9</v>
      </c>
      <c r="T2" s="29" t="s">
        <v>10</v>
      </c>
      <c r="U2" s="28" t="s">
        <v>9</v>
      </c>
      <c r="V2" s="29" t="s">
        <v>11</v>
      </c>
      <c r="W2" s="28" t="s">
        <v>9</v>
      </c>
      <c r="X2" s="29" t="s">
        <v>6</v>
      </c>
      <c r="Y2" s="28" t="s">
        <v>9</v>
      </c>
      <c r="Z2" s="29" t="s">
        <v>7</v>
      </c>
      <c r="AA2" s="28" t="s">
        <v>9</v>
      </c>
      <c r="AB2" s="29" t="s">
        <v>8</v>
      </c>
      <c r="AC2" s="28" t="s">
        <v>3</v>
      </c>
      <c r="AD2" s="29" t="s">
        <v>10</v>
      </c>
      <c r="AE2" s="28" t="s">
        <v>3</v>
      </c>
      <c r="AF2" s="29" t="s">
        <v>11</v>
      </c>
      <c r="AG2" s="28" t="s">
        <v>3</v>
      </c>
      <c r="AH2" s="29" t="s">
        <v>6</v>
      </c>
      <c r="AI2" s="28" t="s">
        <v>3</v>
      </c>
      <c r="AJ2" s="29" t="s">
        <v>7</v>
      </c>
      <c r="AK2" s="28" t="s">
        <v>3</v>
      </c>
      <c r="AL2" s="29" t="s">
        <v>8</v>
      </c>
      <c r="AM2" s="28" t="s">
        <v>10</v>
      </c>
      <c r="AN2" s="29" t="s">
        <v>11</v>
      </c>
      <c r="AO2" s="28" t="s">
        <v>10</v>
      </c>
      <c r="AP2" s="29" t="s">
        <v>6</v>
      </c>
      <c r="AQ2" s="28" t="s">
        <v>10</v>
      </c>
      <c r="AR2" s="29" t="s">
        <v>7</v>
      </c>
      <c r="AS2" s="28" t="s">
        <v>10</v>
      </c>
      <c r="AT2" s="29" t="s">
        <v>8</v>
      </c>
      <c r="AU2" s="28" t="s">
        <v>11</v>
      </c>
      <c r="AV2" s="29" t="s">
        <v>6</v>
      </c>
      <c r="AW2" s="28" t="s">
        <v>11</v>
      </c>
      <c r="AX2" s="29" t="s">
        <v>7</v>
      </c>
      <c r="AY2" s="28" t="s">
        <v>11</v>
      </c>
      <c r="AZ2" s="29" t="s">
        <v>8</v>
      </c>
      <c r="BA2" s="28" t="s">
        <v>6</v>
      </c>
      <c r="BB2" s="29" t="s">
        <v>7</v>
      </c>
      <c r="BC2" s="28" t="s">
        <v>6</v>
      </c>
      <c r="BD2" s="29" t="s">
        <v>8</v>
      </c>
      <c r="BE2" s="28" t="s">
        <v>7</v>
      </c>
      <c r="BF2" s="29" t="s">
        <v>8</v>
      </c>
    </row>
    <row r="3" spans="1:58" x14ac:dyDescent="0.25">
      <c r="A3" s="27" t="s">
        <v>12</v>
      </c>
      <c r="B3" s="27" t="s">
        <v>1</v>
      </c>
      <c r="C3">
        <v>58.666699999999999</v>
      </c>
      <c r="D3"/>
      <c r="E3">
        <v>62.833300000000001</v>
      </c>
      <c r="F3"/>
      <c r="G3">
        <v>63.333300000000001</v>
      </c>
      <c r="H3"/>
      <c r="I3">
        <v>67.5</v>
      </c>
      <c r="J3"/>
      <c r="K3">
        <v>60.5</v>
      </c>
      <c r="L3"/>
      <c r="M3">
        <v>65.5</v>
      </c>
      <c r="N3"/>
      <c r="O3">
        <v>64.166700000000006</v>
      </c>
      <c r="P3"/>
      <c r="Q3">
        <v>60</v>
      </c>
      <c r="R3"/>
      <c r="S3">
        <v>63.666699999999999</v>
      </c>
      <c r="T3"/>
      <c r="U3">
        <v>58.166699999999999</v>
      </c>
      <c r="V3"/>
      <c r="W3">
        <v>66.5</v>
      </c>
      <c r="X3"/>
      <c r="Y3">
        <v>67.166700000000006</v>
      </c>
      <c r="Z3"/>
      <c r="AA3">
        <v>65.333299999999994</v>
      </c>
      <c r="AB3"/>
      <c r="AC3">
        <v>63.666699999999999</v>
      </c>
      <c r="AD3"/>
      <c r="AE3">
        <v>67.5</v>
      </c>
      <c r="AF3"/>
      <c r="AG3">
        <v>67.666700000000006</v>
      </c>
      <c r="AH3"/>
      <c r="AI3">
        <v>69.333299999999994</v>
      </c>
      <c r="AJ3"/>
      <c r="AK3">
        <v>63.833300000000001</v>
      </c>
      <c r="AL3"/>
      <c r="AM3">
        <v>64.333299999999994</v>
      </c>
      <c r="AN3"/>
      <c r="AO3">
        <v>65.333299999999994</v>
      </c>
      <c r="AP3"/>
      <c r="AQ3">
        <v>68.666700000000006</v>
      </c>
      <c r="AR3"/>
      <c r="AS3">
        <v>66.166700000000006</v>
      </c>
      <c r="AT3"/>
      <c r="AU3">
        <v>57.833300000000001</v>
      </c>
      <c r="AV3"/>
      <c r="AW3">
        <v>62.5</v>
      </c>
      <c r="AX3"/>
      <c r="AY3">
        <v>62.166699999999999</v>
      </c>
      <c r="AZ3"/>
      <c r="BA3">
        <v>61.666699999999999</v>
      </c>
      <c r="BB3"/>
      <c r="BC3">
        <v>56.333300000000001</v>
      </c>
      <c r="BD3"/>
      <c r="BE3">
        <v>64.5</v>
      </c>
      <c r="BF3" s="26"/>
    </row>
    <row r="4" spans="1:58" x14ac:dyDescent="0.25">
      <c r="B4" s="26">
        <f>AVERAGE(C3,E3,G3,I3,K3,M3,O3,Q3,S3,U3,W3,Y3,AA3,AC3,AE3,AG3,AI3,AK3,AM3,AO3,AQ3,AS3,AU3,AW3,AY3,BA3,BC3,BE3)</f>
        <v>63.744050000000001</v>
      </c>
      <c r="C4" s="25" t="s">
        <v>1</v>
      </c>
      <c r="D4" s="26" t="s">
        <v>2</v>
      </c>
      <c r="E4" s="25" t="s">
        <v>1</v>
      </c>
      <c r="F4" s="26" t="s">
        <v>3</v>
      </c>
      <c r="G4" s="25" t="s">
        <v>1</v>
      </c>
      <c r="H4" s="26" t="s">
        <v>4</v>
      </c>
      <c r="I4" s="25" t="s">
        <v>1</v>
      </c>
      <c r="J4" s="26" t="s">
        <v>5</v>
      </c>
      <c r="K4" s="25" t="s">
        <v>1</v>
      </c>
      <c r="L4" s="26" t="s">
        <v>6</v>
      </c>
      <c r="M4" s="25" t="s">
        <v>1</v>
      </c>
      <c r="N4" s="26" t="s">
        <v>7</v>
      </c>
      <c r="O4" s="25" t="s">
        <v>1</v>
      </c>
      <c r="P4" s="26" t="s">
        <v>8</v>
      </c>
      <c r="Q4" s="28" t="s">
        <v>9</v>
      </c>
      <c r="R4" s="29" t="s">
        <v>3</v>
      </c>
      <c r="S4" s="28" t="s">
        <v>9</v>
      </c>
      <c r="T4" s="29" t="s">
        <v>10</v>
      </c>
      <c r="U4" s="28" t="s">
        <v>9</v>
      </c>
      <c r="V4" s="29" t="s">
        <v>11</v>
      </c>
      <c r="W4" s="28" t="s">
        <v>9</v>
      </c>
      <c r="X4" s="29" t="s">
        <v>6</v>
      </c>
      <c r="Y4" s="28" t="s">
        <v>9</v>
      </c>
      <c r="Z4" s="29" t="s">
        <v>7</v>
      </c>
      <c r="AA4" s="28" t="s">
        <v>9</v>
      </c>
      <c r="AB4" s="29" t="s">
        <v>8</v>
      </c>
      <c r="AC4" s="28" t="s">
        <v>3</v>
      </c>
      <c r="AD4" s="29" t="s">
        <v>10</v>
      </c>
      <c r="AE4" s="28" t="s">
        <v>3</v>
      </c>
      <c r="AF4" s="29" t="s">
        <v>11</v>
      </c>
      <c r="AG4" s="28" t="s">
        <v>3</v>
      </c>
      <c r="AH4" s="29" t="s">
        <v>6</v>
      </c>
      <c r="AI4" s="28" t="s">
        <v>3</v>
      </c>
      <c r="AJ4" s="29" t="s">
        <v>7</v>
      </c>
      <c r="AK4" s="28" t="s">
        <v>3</v>
      </c>
      <c r="AL4" s="29" t="s">
        <v>8</v>
      </c>
      <c r="AM4" s="28" t="s">
        <v>10</v>
      </c>
      <c r="AN4" s="29" t="s">
        <v>11</v>
      </c>
      <c r="AO4" s="28" t="s">
        <v>10</v>
      </c>
      <c r="AP4" s="29" t="s">
        <v>6</v>
      </c>
      <c r="AQ4" s="28" t="s">
        <v>10</v>
      </c>
      <c r="AR4" s="29" t="s">
        <v>7</v>
      </c>
      <c r="AS4" s="28" t="s">
        <v>10</v>
      </c>
      <c r="AT4" s="29" t="s">
        <v>8</v>
      </c>
      <c r="AU4" s="28" t="s">
        <v>11</v>
      </c>
      <c r="AV4" s="29" t="s">
        <v>6</v>
      </c>
      <c r="AW4" s="28" t="s">
        <v>11</v>
      </c>
      <c r="AX4" s="29" t="s">
        <v>7</v>
      </c>
      <c r="AY4" s="28" t="s">
        <v>11</v>
      </c>
      <c r="AZ4" s="29" t="s">
        <v>8</v>
      </c>
      <c r="BA4" s="28" t="s">
        <v>6</v>
      </c>
      <c r="BB4" s="29" t="s">
        <v>7</v>
      </c>
      <c r="BC4" s="28" t="s">
        <v>6</v>
      </c>
      <c r="BD4" s="29" t="s">
        <v>8</v>
      </c>
      <c r="BE4" s="28" t="s">
        <v>7</v>
      </c>
      <c r="BF4" s="29" t="s">
        <v>8</v>
      </c>
    </row>
    <row r="5" spans="1:58" x14ac:dyDescent="0.25">
      <c r="A5" s="27" t="s">
        <v>12</v>
      </c>
      <c r="B5" s="27" t="s">
        <v>2</v>
      </c>
      <c r="C5">
        <v>97.833299999999994</v>
      </c>
      <c r="D5"/>
      <c r="E5">
        <v>93.666700000000006</v>
      </c>
      <c r="F5"/>
      <c r="G5">
        <v>96</v>
      </c>
      <c r="H5"/>
      <c r="I5">
        <v>94.833299999999994</v>
      </c>
      <c r="J5"/>
      <c r="K5">
        <v>95.666700000000006</v>
      </c>
      <c r="L5"/>
      <c r="M5">
        <v>94.166700000000006</v>
      </c>
      <c r="N5"/>
      <c r="O5">
        <v>97.166700000000006</v>
      </c>
      <c r="P5"/>
      <c r="Q5">
        <v>94.666700000000006</v>
      </c>
      <c r="R5"/>
      <c r="S5">
        <v>92.666700000000006</v>
      </c>
      <c r="T5"/>
      <c r="U5">
        <v>94</v>
      </c>
      <c r="V5"/>
      <c r="W5">
        <v>98.5</v>
      </c>
      <c r="X5"/>
      <c r="Y5">
        <v>94.166700000000006</v>
      </c>
      <c r="Z5"/>
      <c r="AA5">
        <v>93.5</v>
      </c>
      <c r="AB5"/>
      <c r="AC5">
        <v>96.833299999999994</v>
      </c>
      <c r="AD5"/>
      <c r="AE5">
        <v>95.166700000000006</v>
      </c>
      <c r="AF5"/>
      <c r="AG5">
        <v>93.166700000000006</v>
      </c>
      <c r="AH5"/>
      <c r="AI5">
        <v>97</v>
      </c>
      <c r="AJ5"/>
      <c r="AK5">
        <v>96.666700000000006</v>
      </c>
      <c r="AL5"/>
      <c r="AM5">
        <v>98</v>
      </c>
      <c r="AN5"/>
      <c r="AO5">
        <v>93</v>
      </c>
      <c r="AP5"/>
      <c r="AQ5">
        <v>94.333299999999994</v>
      </c>
      <c r="AR5"/>
      <c r="AS5">
        <v>93.833299999999994</v>
      </c>
      <c r="AT5"/>
      <c r="AU5">
        <v>93</v>
      </c>
      <c r="AV5"/>
      <c r="AW5">
        <v>93.333299999999994</v>
      </c>
      <c r="AX5"/>
      <c r="AY5">
        <v>95</v>
      </c>
      <c r="AZ5"/>
      <c r="BA5">
        <v>97.333299999999994</v>
      </c>
      <c r="BB5"/>
      <c r="BC5">
        <v>93.833299999999994</v>
      </c>
      <c r="BD5"/>
      <c r="BE5">
        <v>92.166700000000006</v>
      </c>
      <c r="BF5" s="26"/>
    </row>
    <row r="6" spans="1:58" x14ac:dyDescent="0.25">
      <c r="B6" s="26">
        <f>AVERAGE(C5,E5,G5,I5,K5,M5,O5,Q5,S5,U5,W5,Y5,AA5,AC5,AE5,AG5,AI5,AK5,AM5,AO5,AQ5,AS5,AU5,AW5,AY5,BA5,BC5,BE5)</f>
        <v>94.982146428571397</v>
      </c>
      <c r="C6" s="25" t="s">
        <v>1</v>
      </c>
      <c r="D6" s="26" t="s">
        <v>2</v>
      </c>
      <c r="E6" s="25" t="s">
        <v>1</v>
      </c>
      <c r="F6" s="26" t="s">
        <v>3</v>
      </c>
      <c r="G6" s="25" t="s">
        <v>1</v>
      </c>
      <c r="H6" s="26" t="s">
        <v>4</v>
      </c>
      <c r="I6" s="25" t="s">
        <v>1</v>
      </c>
      <c r="J6" s="26" t="s">
        <v>5</v>
      </c>
      <c r="K6" s="25" t="s">
        <v>1</v>
      </c>
      <c r="L6" s="26" t="s">
        <v>6</v>
      </c>
      <c r="M6" s="25" t="s">
        <v>1</v>
      </c>
      <c r="N6" s="26" t="s">
        <v>7</v>
      </c>
      <c r="O6" s="25" t="s">
        <v>1</v>
      </c>
      <c r="P6" s="26" t="s">
        <v>8</v>
      </c>
      <c r="Q6" s="28" t="s">
        <v>9</v>
      </c>
      <c r="R6" s="29" t="s">
        <v>3</v>
      </c>
      <c r="S6" s="28" t="s">
        <v>9</v>
      </c>
      <c r="T6" s="29" t="s">
        <v>10</v>
      </c>
      <c r="U6" s="28" t="s">
        <v>9</v>
      </c>
      <c r="V6" s="29" t="s">
        <v>11</v>
      </c>
      <c r="W6" s="28" t="s">
        <v>9</v>
      </c>
      <c r="X6" s="29" t="s">
        <v>6</v>
      </c>
      <c r="Y6" s="28" t="s">
        <v>9</v>
      </c>
      <c r="Z6" s="29" t="s">
        <v>7</v>
      </c>
      <c r="AA6" s="28" t="s">
        <v>9</v>
      </c>
      <c r="AB6" s="29" t="s">
        <v>8</v>
      </c>
      <c r="AC6" s="28" t="s">
        <v>3</v>
      </c>
      <c r="AD6" s="29" t="s">
        <v>10</v>
      </c>
      <c r="AE6" s="28" t="s">
        <v>3</v>
      </c>
      <c r="AF6" s="29" t="s">
        <v>11</v>
      </c>
      <c r="AG6" s="28" t="s">
        <v>3</v>
      </c>
      <c r="AH6" s="29" t="s">
        <v>6</v>
      </c>
      <c r="AI6" s="28" t="s">
        <v>3</v>
      </c>
      <c r="AJ6" s="29" t="s">
        <v>7</v>
      </c>
      <c r="AK6" s="28" t="s">
        <v>3</v>
      </c>
      <c r="AL6" s="29" t="s">
        <v>8</v>
      </c>
      <c r="AM6" s="28" t="s">
        <v>10</v>
      </c>
      <c r="AN6" s="29" t="s">
        <v>11</v>
      </c>
      <c r="AO6" s="28" t="s">
        <v>10</v>
      </c>
      <c r="AP6" s="29" t="s">
        <v>6</v>
      </c>
      <c r="AQ6" s="28" t="s">
        <v>10</v>
      </c>
      <c r="AR6" s="29" t="s">
        <v>7</v>
      </c>
      <c r="AS6" s="28" t="s">
        <v>10</v>
      </c>
      <c r="AT6" s="29" t="s">
        <v>8</v>
      </c>
      <c r="AU6" s="28" t="s">
        <v>11</v>
      </c>
      <c r="AV6" s="29" t="s">
        <v>6</v>
      </c>
      <c r="AW6" s="28" t="s">
        <v>11</v>
      </c>
      <c r="AX6" s="29" t="s">
        <v>7</v>
      </c>
      <c r="AY6" s="28" t="s">
        <v>11</v>
      </c>
      <c r="AZ6" s="29" t="s">
        <v>8</v>
      </c>
      <c r="BA6" s="28" t="s">
        <v>6</v>
      </c>
      <c r="BB6" s="29" t="s">
        <v>7</v>
      </c>
      <c r="BC6" s="28" t="s">
        <v>6</v>
      </c>
      <c r="BD6" s="29" t="s">
        <v>8</v>
      </c>
      <c r="BE6" s="28" t="s">
        <v>7</v>
      </c>
      <c r="BF6" s="29" t="s">
        <v>8</v>
      </c>
    </row>
    <row r="7" spans="1:58" x14ac:dyDescent="0.25">
      <c r="A7" s="27" t="s">
        <v>12</v>
      </c>
      <c r="B7" s="27" t="s">
        <v>3</v>
      </c>
      <c r="C7">
        <v>98.833299999999994</v>
      </c>
      <c r="D7"/>
      <c r="E7">
        <v>98.833299999999994</v>
      </c>
      <c r="F7"/>
      <c r="G7">
        <v>98.166700000000006</v>
      </c>
      <c r="H7"/>
      <c r="I7">
        <v>99</v>
      </c>
      <c r="J7"/>
      <c r="K7">
        <v>98.5</v>
      </c>
      <c r="L7"/>
      <c r="M7">
        <v>98.333299999999994</v>
      </c>
      <c r="N7"/>
      <c r="O7">
        <v>98.5</v>
      </c>
      <c r="P7"/>
      <c r="Q7">
        <v>98.666700000000006</v>
      </c>
      <c r="R7"/>
      <c r="S7">
        <v>98.833299999999994</v>
      </c>
      <c r="T7"/>
      <c r="U7">
        <v>98.333299999999994</v>
      </c>
      <c r="V7"/>
      <c r="W7">
        <v>98.666700000000006</v>
      </c>
      <c r="X7"/>
      <c r="Y7">
        <v>98.166700000000006</v>
      </c>
      <c r="Z7"/>
      <c r="AA7">
        <v>99</v>
      </c>
      <c r="AB7"/>
      <c r="AC7">
        <v>98.5</v>
      </c>
      <c r="AD7"/>
      <c r="AE7">
        <v>97.333299999999994</v>
      </c>
      <c r="AF7"/>
      <c r="AG7">
        <v>98.833299999999994</v>
      </c>
      <c r="AH7"/>
      <c r="AI7">
        <v>98</v>
      </c>
      <c r="AJ7"/>
      <c r="AK7">
        <v>97.833299999999994</v>
      </c>
      <c r="AL7"/>
      <c r="AM7">
        <v>99</v>
      </c>
      <c r="AN7"/>
      <c r="AO7">
        <v>98.5</v>
      </c>
      <c r="AP7"/>
      <c r="AQ7">
        <v>99</v>
      </c>
      <c r="AR7"/>
      <c r="AS7">
        <v>98</v>
      </c>
      <c r="AT7"/>
      <c r="AU7">
        <v>98.666700000000006</v>
      </c>
      <c r="AV7"/>
      <c r="AW7">
        <v>98.666700000000006</v>
      </c>
      <c r="AX7"/>
      <c r="AY7">
        <v>98.333299999999994</v>
      </c>
      <c r="AZ7"/>
      <c r="BA7">
        <v>98.5</v>
      </c>
      <c r="BB7"/>
      <c r="BC7">
        <v>98.666700000000006</v>
      </c>
      <c r="BD7"/>
      <c r="BE7">
        <v>98.5</v>
      </c>
      <c r="BF7" s="26"/>
    </row>
    <row r="8" spans="1:58" x14ac:dyDescent="0.25">
      <c r="B8" s="26">
        <f>AVERAGE(C7,E7,G7,I7,K7,M7,O7,Q7,S7,U7,W7,Y7,AA7,AC7,AE7,AG7,AI7,AK7,AM7,AO7,AQ7,AS7,AU7,AW7,AY7,BA7,BC7,BE7)</f>
        <v>98.505950000000013</v>
      </c>
      <c r="C8" s="25" t="s">
        <v>1</v>
      </c>
      <c r="D8" s="26" t="s">
        <v>2</v>
      </c>
      <c r="E8" s="25" t="s">
        <v>1</v>
      </c>
      <c r="F8" s="26" t="s">
        <v>3</v>
      </c>
      <c r="G8" s="25" t="s">
        <v>1</v>
      </c>
      <c r="H8" s="26" t="s">
        <v>4</v>
      </c>
      <c r="I8" s="25" t="s">
        <v>1</v>
      </c>
      <c r="J8" s="26" t="s">
        <v>5</v>
      </c>
      <c r="K8" s="25" t="s">
        <v>1</v>
      </c>
      <c r="L8" s="26" t="s">
        <v>6</v>
      </c>
      <c r="M8" s="25" t="s">
        <v>1</v>
      </c>
      <c r="N8" s="26" t="s">
        <v>7</v>
      </c>
      <c r="O8" s="25" t="s">
        <v>1</v>
      </c>
      <c r="P8" s="26" t="s">
        <v>8</v>
      </c>
      <c r="Q8" s="28" t="s">
        <v>9</v>
      </c>
      <c r="R8" s="29" t="s">
        <v>3</v>
      </c>
      <c r="S8" s="28" t="s">
        <v>9</v>
      </c>
      <c r="T8" s="29" t="s">
        <v>10</v>
      </c>
      <c r="U8" s="28" t="s">
        <v>9</v>
      </c>
      <c r="V8" s="29" t="s">
        <v>11</v>
      </c>
      <c r="W8" s="28" t="s">
        <v>9</v>
      </c>
      <c r="X8" s="29" t="s">
        <v>6</v>
      </c>
      <c r="Y8" s="28" t="s">
        <v>9</v>
      </c>
      <c r="Z8" s="29" t="s">
        <v>7</v>
      </c>
      <c r="AA8" s="28" t="s">
        <v>9</v>
      </c>
      <c r="AB8" s="29" t="s">
        <v>8</v>
      </c>
      <c r="AC8" s="28" t="s">
        <v>3</v>
      </c>
      <c r="AD8" s="29" t="s">
        <v>10</v>
      </c>
      <c r="AE8" s="28" t="s">
        <v>3</v>
      </c>
      <c r="AF8" s="29" t="s">
        <v>11</v>
      </c>
      <c r="AG8" s="28" t="s">
        <v>3</v>
      </c>
      <c r="AH8" s="29" t="s">
        <v>6</v>
      </c>
      <c r="AI8" s="28" t="s">
        <v>3</v>
      </c>
      <c r="AJ8" s="29" t="s">
        <v>7</v>
      </c>
      <c r="AK8" s="28" t="s">
        <v>3</v>
      </c>
      <c r="AL8" s="29" t="s">
        <v>8</v>
      </c>
      <c r="AM8" s="28" t="s">
        <v>10</v>
      </c>
      <c r="AN8" s="29" t="s">
        <v>11</v>
      </c>
      <c r="AO8" s="28" t="s">
        <v>10</v>
      </c>
      <c r="AP8" s="29" t="s">
        <v>6</v>
      </c>
      <c r="AQ8" s="28" t="s">
        <v>10</v>
      </c>
      <c r="AR8" s="29" t="s">
        <v>7</v>
      </c>
      <c r="AS8" s="28" t="s">
        <v>10</v>
      </c>
      <c r="AT8" s="29" t="s">
        <v>8</v>
      </c>
      <c r="AU8" s="28" t="s">
        <v>11</v>
      </c>
      <c r="AV8" s="29" t="s">
        <v>6</v>
      </c>
      <c r="AW8" s="28" t="s">
        <v>11</v>
      </c>
      <c r="AX8" s="29" t="s">
        <v>7</v>
      </c>
      <c r="AY8" s="28" t="s">
        <v>11</v>
      </c>
      <c r="AZ8" s="29" t="s">
        <v>8</v>
      </c>
      <c r="BA8" s="28" t="s">
        <v>6</v>
      </c>
      <c r="BB8" s="29" t="s">
        <v>7</v>
      </c>
      <c r="BC8" s="28" t="s">
        <v>6</v>
      </c>
      <c r="BD8" s="29" t="s">
        <v>8</v>
      </c>
      <c r="BE8" s="28" t="s">
        <v>7</v>
      </c>
      <c r="BF8" s="29" t="s">
        <v>8</v>
      </c>
    </row>
    <row r="9" spans="1:58" x14ac:dyDescent="0.25">
      <c r="A9" s="27" t="s">
        <v>12</v>
      </c>
      <c r="B9" s="27" t="s">
        <v>4</v>
      </c>
      <c r="C9">
        <v>80.166700000000006</v>
      </c>
      <c r="D9"/>
      <c r="E9">
        <v>81.833299999999994</v>
      </c>
      <c r="F9"/>
      <c r="G9">
        <v>82.666700000000006</v>
      </c>
      <c r="H9"/>
      <c r="I9">
        <v>79.5</v>
      </c>
      <c r="J9"/>
      <c r="K9">
        <v>84.333299999999994</v>
      </c>
      <c r="L9"/>
      <c r="M9">
        <v>79</v>
      </c>
      <c r="N9"/>
      <c r="O9">
        <v>81.166700000000006</v>
      </c>
      <c r="P9"/>
      <c r="Q9">
        <v>79.166700000000006</v>
      </c>
      <c r="R9"/>
      <c r="S9">
        <v>75</v>
      </c>
      <c r="T9"/>
      <c r="U9">
        <v>75</v>
      </c>
      <c r="V9"/>
      <c r="W9">
        <v>80.5</v>
      </c>
      <c r="X9"/>
      <c r="Y9">
        <v>82.666700000000006</v>
      </c>
      <c r="Z9"/>
      <c r="AA9">
        <v>80.666700000000006</v>
      </c>
      <c r="AB9"/>
      <c r="AC9">
        <v>79.833299999999994</v>
      </c>
      <c r="AD9"/>
      <c r="AE9">
        <v>83.333299999999994</v>
      </c>
      <c r="AF9"/>
      <c r="AG9">
        <v>78.5</v>
      </c>
      <c r="AH9"/>
      <c r="AI9">
        <v>80.333299999999994</v>
      </c>
      <c r="AJ9"/>
      <c r="AK9">
        <v>84.5</v>
      </c>
      <c r="AL9"/>
      <c r="AM9">
        <v>81.166700000000006</v>
      </c>
      <c r="AN9"/>
      <c r="AO9">
        <v>79.833299999999994</v>
      </c>
      <c r="AP9"/>
      <c r="AQ9">
        <v>74.833299999999994</v>
      </c>
      <c r="AR9"/>
      <c r="AS9">
        <v>82.333299999999994</v>
      </c>
      <c r="AT9"/>
      <c r="AU9">
        <v>76.5</v>
      </c>
      <c r="AV9"/>
      <c r="AW9">
        <v>83.333299999999994</v>
      </c>
      <c r="AX9"/>
      <c r="AY9">
        <v>78.666700000000006</v>
      </c>
      <c r="AZ9"/>
      <c r="BA9">
        <v>77.5</v>
      </c>
      <c r="BB9"/>
      <c r="BC9">
        <v>79.833299999999994</v>
      </c>
      <c r="BD9"/>
      <c r="BE9">
        <v>82</v>
      </c>
      <c r="BF9" s="26"/>
    </row>
    <row r="10" spans="1:58" x14ac:dyDescent="0.25">
      <c r="B10" s="26">
        <f>AVERAGE(C9,E9,G9,I9,K9,M9,O9,Q9,S9,U9,W9,Y9,AA9,AC9,AE9,AG9,AI9,AK9,AM9,AO9,AQ9,AS9,AU9,AW9,AY9,BA9,BC9,BE9)</f>
        <v>80.148807142857137</v>
      </c>
      <c r="C10" s="25" t="s">
        <v>1</v>
      </c>
      <c r="D10" s="26" t="s">
        <v>2</v>
      </c>
      <c r="E10" s="25" t="s">
        <v>1</v>
      </c>
      <c r="F10" s="26" t="s">
        <v>3</v>
      </c>
      <c r="G10" s="25" t="s">
        <v>1</v>
      </c>
      <c r="H10" s="26" t="s">
        <v>4</v>
      </c>
      <c r="I10" s="25" t="s">
        <v>1</v>
      </c>
      <c r="J10" s="26" t="s">
        <v>5</v>
      </c>
      <c r="K10" s="25" t="s">
        <v>1</v>
      </c>
      <c r="L10" s="26" t="s">
        <v>6</v>
      </c>
      <c r="M10" s="25" t="s">
        <v>1</v>
      </c>
      <c r="N10" s="26" t="s">
        <v>7</v>
      </c>
      <c r="O10" s="25" t="s">
        <v>1</v>
      </c>
      <c r="P10" s="26" t="s">
        <v>8</v>
      </c>
      <c r="Q10" s="28" t="s">
        <v>9</v>
      </c>
      <c r="R10" s="29" t="s">
        <v>3</v>
      </c>
      <c r="S10" s="28" t="s">
        <v>9</v>
      </c>
      <c r="T10" s="29" t="s">
        <v>10</v>
      </c>
      <c r="U10" s="28" t="s">
        <v>9</v>
      </c>
      <c r="V10" s="29" t="s">
        <v>11</v>
      </c>
      <c r="W10" s="28" t="s">
        <v>9</v>
      </c>
      <c r="X10" s="29" t="s">
        <v>6</v>
      </c>
      <c r="Y10" s="28" t="s">
        <v>9</v>
      </c>
      <c r="Z10" s="29" t="s">
        <v>7</v>
      </c>
      <c r="AA10" s="28" t="s">
        <v>9</v>
      </c>
      <c r="AB10" s="29" t="s">
        <v>8</v>
      </c>
      <c r="AC10" s="28" t="s">
        <v>3</v>
      </c>
      <c r="AD10" s="29" t="s">
        <v>10</v>
      </c>
      <c r="AE10" s="28" t="s">
        <v>3</v>
      </c>
      <c r="AF10" s="29" t="s">
        <v>11</v>
      </c>
      <c r="AG10" s="28" t="s">
        <v>3</v>
      </c>
      <c r="AH10" s="29" t="s">
        <v>6</v>
      </c>
      <c r="AI10" s="28" t="s">
        <v>3</v>
      </c>
      <c r="AJ10" s="29" t="s">
        <v>7</v>
      </c>
      <c r="AK10" s="28" t="s">
        <v>3</v>
      </c>
      <c r="AL10" s="29" t="s">
        <v>8</v>
      </c>
      <c r="AM10" s="28" t="s">
        <v>10</v>
      </c>
      <c r="AN10" s="29" t="s">
        <v>11</v>
      </c>
      <c r="AO10" s="28" t="s">
        <v>10</v>
      </c>
      <c r="AP10" s="29" t="s">
        <v>6</v>
      </c>
      <c r="AQ10" s="28" t="s">
        <v>10</v>
      </c>
      <c r="AR10" s="29" t="s">
        <v>7</v>
      </c>
      <c r="AS10" s="28" t="s">
        <v>10</v>
      </c>
      <c r="AT10" s="29" t="s">
        <v>8</v>
      </c>
      <c r="AU10" s="28" t="s">
        <v>11</v>
      </c>
      <c r="AV10" s="29" t="s">
        <v>6</v>
      </c>
      <c r="AW10" s="28" t="s">
        <v>11</v>
      </c>
      <c r="AX10" s="29" t="s">
        <v>7</v>
      </c>
      <c r="AY10" s="28" t="s">
        <v>11</v>
      </c>
      <c r="AZ10" s="29" t="s">
        <v>8</v>
      </c>
      <c r="BA10" s="28" t="s">
        <v>6</v>
      </c>
      <c r="BB10" s="29" t="s">
        <v>7</v>
      </c>
      <c r="BC10" s="28" t="s">
        <v>6</v>
      </c>
      <c r="BD10" s="29" t="s">
        <v>8</v>
      </c>
      <c r="BE10" s="28" t="s">
        <v>7</v>
      </c>
      <c r="BF10" s="29" t="s">
        <v>8</v>
      </c>
    </row>
    <row r="11" spans="1:58" x14ac:dyDescent="0.25">
      <c r="A11" s="27" t="s">
        <v>12</v>
      </c>
      <c r="B11" s="27" t="s">
        <v>5</v>
      </c>
      <c r="C11">
        <v>67.333299999999994</v>
      </c>
      <c r="D11"/>
      <c r="E11">
        <v>76.166700000000006</v>
      </c>
      <c r="F11"/>
      <c r="G11">
        <v>70.666700000000006</v>
      </c>
      <c r="H11"/>
      <c r="I11">
        <v>78</v>
      </c>
      <c r="J11"/>
      <c r="K11">
        <v>78</v>
      </c>
      <c r="L11"/>
      <c r="M11">
        <v>78</v>
      </c>
      <c r="N11"/>
      <c r="O11">
        <v>78.166700000000006</v>
      </c>
      <c r="P11"/>
      <c r="Q11">
        <v>73.833299999999994</v>
      </c>
      <c r="R11"/>
      <c r="S11">
        <v>74.333299999999994</v>
      </c>
      <c r="T11"/>
      <c r="U11">
        <v>75.833299999999994</v>
      </c>
      <c r="V11"/>
      <c r="W11">
        <v>76.5</v>
      </c>
      <c r="X11"/>
      <c r="Y11">
        <v>75</v>
      </c>
      <c r="Z11"/>
      <c r="AA11">
        <v>76.833299999999994</v>
      </c>
      <c r="AB11"/>
      <c r="AC11">
        <v>78.166700000000006</v>
      </c>
      <c r="AD11"/>
      <c r="AE11">
        <v>75</v>
      </c>
      <c r="AF11"/>
      <c r="AG11">
        <v>72.833299999999994</v>
      </c>
      <c r="AH11"/>
      <c r="AI11">
        <v>78.833299999999994</v>
      </c>
      <c r="AJ11"/>
      <c r="AK11">
        <v>74.833299999999994</v>
      </c>
      <c r="AL11"/>
      <c r="AM11">
        <v>75.666700000000006</v>
      </c>
      <c r="AN11"/>
      <c r="AO11">
        <v>75</v>
      </c>
      <c r="AP11"/>
      <c r="AQ11">
        <v>74</v>
      </c>
      <c r="AR11"/>
      <c r="AS11">
        <v>76.5</v>
      </c>
      <c r="AT11"/>
      <c r="AU11">
        <v>72.166700000000006</v>
      </c>
      <c r="AV11"/>
      <c r="AW11">
        <v>78.166700000000006</v>
      </c>
      <c r="AX11"/>
      <c r="AY11">
        <v>75.5</v>
      </c>
      <c r="AZ11"/>
      <c r="BA11">
        <v>77.166700000000006</v>
      </c>
      <c r="BB11"/>
      <c r="BC11">
        <v>73.333299999999994</v>
      </c>
      <c r="BD11"/>
      <c r="BE11">
        <v>75.833299999999994</v>
      </c>
      <c r="BF11" s="26"/>
    </row>
    <row r="12" spans="1:58" x14ac:dyDescent="0.25">
      <c r="B12" s="26">
        <f>AVERAGE(C11,E11,G11,I11,K11,M11,O11,Q11,S11,U11,W11,Y11,AA11,AC11,AE11,AG11,AI11,AK11,AM11,AO11,AQ11,AS11,AU11,AW11,AY11,BA11,BC11,BE11)</f>
        <v>75.41666428571429</v>
      </c>
      <c r="C12" s="25" t="s">
        <v>1</v>
      </c>
      <c r="D12" s="26" t="s">
        <v>2</v>
      </c>
      <c r="E12" s="25" t="s">
        <v>1</v>
      </c>
      <c r="F12" s="26" t="s">
        <v>3</v>
      </c>
      <c r="G12" s="25" t="s">
        <v>1</v>
      </c>
      <c r="H12" s="26" t="s">
        <v>4</v>
      </c>
      <c r="I12" s="25" t="s">
        <v>1</v>
      </c>
      <c r="J12" s="26" t="s">
        <v>5</v>
      </c>
      <c r="K12" s="25" t="s">
        <v>1</v>
      </c>
      <c r="L12" s="26" t="s">
        <v>6</v>
      </c>
      <c r="M12" s="25" t="s">
        <v>1</v>
      </c>
      <c r="N12" s="26" t="s">
        <v>7</v>
      </c>
      <c r="O12" s="25" t="s">
        <v>1</v>
      </c>
      <c r="P12" s="26" t="s">
        <v>8</v>
      </c>
      <c r="Q12" s="28" t="s">
        <v>9</v>
      </c>
      <c r="R12" s="29" t="s">
        <v>3</v>
      </c>
      <c r="S12" s="28" t="s">
        <v>9</v>
      </c>
      <c r="T12" s="29" t="s">
        <v>10</v>
      </c>
      <c r="U12" s="28" t="s">
        <v>9</v>
      </c>
      <c r="V12" s="29" t="s">
        <v>11</v>
      </c>
      <c r="W12" s="28" t="s">
        <v>9</v>
      </c>
      <c r="X12" s="29" t="s">
        <v>6</v>
      </c>
      <c r="Y12" s="28" t="s">
        <v>9</v>
      </c>
      <c r="Z12" s="29" t="s">
        <v>7</v>
      </c>
      <c r="AA12" s="28" t="s">
        <v>9</v>
      </c>
      <c r="AB12" s="29" t="s">
        <v>8</v>
      </c>
      <c r="AC12" s="28" t="s">
        <v>3</v>
      </c>
      <c r="AD12" s="29" t="s">
        <v>10</v>
      </c>
      <c r="AE12" s="28" t="s">
        <v>3</v>
      </c>
      <c r="AF12" s="29" t="s">
        <v>11</v>
      </c>
      <c r="AG12" s="28" t="s">
        <v>3</v>
      </c>
      <c r="AH12" s="29" t="s">
        <v>6</v>
      </c>
      <c r="AI12" s="28" t="s">
        <v>3</v>
      </c>
      <c r="AJ12" s="29" t="s">
        <v>7</v>
      </c>
      <c r="AK12" s="28" t="s">
        <v>3</v>
      </c>
      <c r="AL12" s="29" t="s">
        <v>8</v>
      </c>
      <c r="AM12" s="28" t="s">
        <v>10</v>
      </c>
      <c r="AN12" s="29" t="s">
        <v>11</v>
      </c>
      <c r="AO12" s="28" t="s">
        <v>10</v>
      </c>
      <c r="AP12" s="29" t="s">
        <v>6</v>
      </c>
      <c r="AQ12" s="28" t="s">
        <v>10</v>
      </c>
      <c r="AR12" s="29" t="s">
        <v>7</v>
      </c>
      <c r="AS12" s="28" t="s">
        <v>10</v>
      </c>
      <c r="AT12" s="29" t="s">
        <v>8</v>
      </c>
      <c r="AU12" s="28" t="s">
        <v>11</v>
      </c>
      <c r="AV12" s="29" t="s">
        <v>6</v>
      </c>
      <c r="AW12" s="28" t="s">
        <v>11</v>
      </c>
      <c r="AX12" s="29" t="s">
        <v>7</v>
      </c>
      <c r="AY12" s="28" t="s">
        <v>11</v>
      </c>
      <c r="AZ12" s="29" t="s">
        <v>8</v>
      </c>
      <c r="BA12" s="28" t="s">
        <v>6</v>
      </c>
      <c r="BB12" s="29" t="s">
        <v>7</v>
      </c>
      <c r="BC12" s="28" t="s">
        <v>6</v>
      </c>
      <c r="BD12" s="29" t="s">
        <v>8</v>
      </c>
      <c r="BE12" s="28" t="s">
        <v>7</v>
      </c>
      <c r="BF12" s="29" t="s">
        <v>8</v>
      </c>
    </row>
    <row r="13" spans="1:58" x14ac:dyDescent="0.25">
      <c r="A13" s="27" t="s">
        <v>12</v>
      </c>
      <c r="B13" s="27" t="s">
        <v>6</v>
      </c>
      <c r="C13">
        <v>98</v>
      </c>
      <c r="D13"/>
      <c r="E13">
        <v>93.666700000000006</v>
      </c>
      <c r="F13"/>
      <c r="G13">
        <v>99.5</v>
      </c>
      <c r="H13"/>
      <c r="I13">
        <v>99.5</v>
      </c>
      <c r="J13"/>
      <c r="K13">
        <v>98.166700000000006</v>
      </c>
      <c r="L13"/>
      <c r="M13">
        <v>97.666700000000006</v>
      </c>
      <c r="N13"/>
      <c r="O13">
        <v>99.666700000000006</v>
      </c>
      <c r="P13"/>
      <c r="Q13">
        <v>92</v>
      </c>
      <c r="R13"/>
      <c r="S13">
        <v>99.5</v>
      </c>
      <c r="T13"/>
      <c r="U13">
        <v>96.666700000000006</v>
      </c>
      <c r="V13"/>
      <c r="W13">
        <v>99</v>
      </c>
      <c r="X13"/>
      <c r="Y13">
        <v>99.5</v>
      </c>
      <c r="Z13"/>
      <c r="AA13">
        <v>98.166700000000006</v>
      </c>
      <c r="AB13"/>
      <c r="AC13">
        <v>99.5</v>
      </c>
      <c r="AD13"/>
      <c r="AE13">
        <v>99.5</v>
      </c>
      <c r="AF13"/>
      <c r="AG13">
        <v>92.666700000000006</v>
      </c>
      <c r="AH13"/>
      <c r="AI13">
        <v>91.5</v>
      </c>
      <c r="AJ13"/>
      <c r="AK13">
        <v>99.333299999999994</v>
      </c>
      <c r="AL13"/>
      <c r="AM13">
        <v>94.666700000000006</v>
      </c>
      <c r="AN13"/>
      <c r="AO13">
        <v>99.5</v>
      </c>
      <c r="AP13"/>
      <c r="AQ13">
        <v>98.5</v>
      </c>
      <c r="AR13"/>
      <c r="AS13">
        <v>98</v>
      </c>
      <c r="AT13"/>
      <c r="AU13">
        <v>98.666700000000006</v>
      </c>
      <c r="AV13"/>
      <c r="AW13">
        <v>98.333299999999994</v>
      </c>
      <c r="AX13"/>
      <c r="AY13">
        <v>99.333299999999994</v>
      </c>
      <c r="AZ13"/>
      <c r="BA13">
        <v>98.666700000000006</v>
      </c>
      <c r="BB13"/>
      <c r="BC13">
        <v>96.666700000000006</v>
      </c>
      <c r="BD13"/>
      <c r="BE13">
        <v>99</v>
      </c>
      <c r="BF13" s="26"/>
    </row>
    <row r="14" spans="1:58" x14ac:dyDescent="0.25">
      <c r="B14" s="26">
        <f>AVERAGE(C13,E13,G13,I13,K13,M13,O13,Q13,S13,U13,W13,Y13,AA13,AC13,AE13,AG13,AI13,AK13,AM13,AO13,AQ13,AS13,AU13,AW13,AY13,BA13,BC13,BE13)</f>
        <v>97.672628571428589</v>
      </c>
      <c r="C14" s="25" t="s">
        <v>1</v>
      </c>
      <c r="D14" s="26" t="s">
        <v>2</v>
      </c>
      <c r="E14" s="25" t="s">
        <v>1</v>
      </c>
      <c r="F14" s="26" t="s">
        <v>3</v>
      </c>
      <c r="G14" s="25" t="s">
        <v>1</v>
      </c>
      <c r="H14" s="26" t="s">
        <v>4</v>
      </c>
      <c r="I14" s="25" t="s">
        <v>1</v>
      </c>
      <c r="J14" s="26" t="s">
        <v>5</v>
      </c>
      <c r="K14" s="25" t="s">
        <v>1</v>
      </c>
      <c r="L14" s="26" t="s">
        <v>6</v>
      </c>
      <c r="M14" s="25" t="s">
        <v>1</v>
      </c>
      <c r="N14" s="26" t="s">
        <v>7</v>
      </c>
      <c r="O14" s="25" t="s">
        <v>1</v>
      </c>
      <c r="P14" s="26" t="s">
        <v>8</v>
      </c>
      <c r="Q14" s="28" t="s">
        <v>9</v>
      </c>
      <c r="R14" s="29" t="s">
        <v>3</v>
      </c>
      <c r="S14" s="28" t="s">
        <v>9</v>
      </c>
      <c r="T14" s="29" t="s">
        <v>10</v>
      </c>
      <c r="U14" s="28" t="s">
        <v>9</v>
      </c>
      <c r="V14" s="29" t="s">
        <v>11</v>
      </c>
      <c r="W14" s="28" t="s">
        <v>9</v>
      </c>
      <c r="X14" s="29" t="s">
        <v>6</v>
      </c>
      <c r="Y14" s="28" t="s">
        <v>9</v>
      </c>
      <c r="Z14" s="29" t="s">
        <v>7</v>
      </c>
      <c r="AA14" s="28" t="s">
        <v>9</v>
      </c>
      <c r="AB14" s="29" t="s">
        <v>8</v>
      </c>
      <c r="AC14" s="28" t="s">
        <v>3</v>
      </c>
      <c r="AD14" s="29" t="s">
        <v>10</v>
      </c>
      <c r="AE14" s="28" t="s">
        <v>3</v>
      </c>
      <c r="AF14" s="29" t="s">
        <v>11</v>
      </c>
      <c r="AG14" s="28" t="s">
        <v>3</v>
      </c>
      <c r="AH14" s="29" t="s">
        <v>6</v>
      </c>
      <c r="AI14" s="28" t="s">
        <v>3</v>
      </c>
      <c r="AJ14" s="29" t="s">
        <v>7</v>
      </c>
      <c r="AK14" s="28" t="s">
        <v>3</v>
      </c>
      <c r="AL14" s="29" t="s">
        <v>8</v>
      </c>
      <c r="AM14" s="28" t="s">
        <v>10</v>
      </c>
      <c r="AN14" s="29" t="s">
        <v>11</v>
      </c>
      <c r="AO14" s="28" t="s">
        <v>10</v>
      </c>
      <c r="AP14" s="29" t="s">
        <v>6</v>
      </c>
      <c r="AQ14" s="28" t="s">
        <v>10</v>
      </c>
      <c r="AR14" s="29" t="s">
        <v>7</v>
      </c>
      <c r="AS14" s="28" t="s">
        <v>10</v>
      </c>
      <c r="AT14" s="29" t="s">
        <v>8</v>
      </c>
      <c r="AU14" s="28" t="s">
        <v>11</v>
      </c>
      <c r="AV14" s="29" t="s">
        <v>6</v>
      </c>
      <c r="AW14" s="28" t="s">
        <v>11</v>
      </c>
      <c r="AX14" s="29" t="s">
        <v>7</v>
      </c>
      <c r="AY14" s="28" t="s">
        <v>11</v>
      </c>
      <c r="AZ14" s="29" t="s">
        <v>8</v>
      </c>
      <c r="BA14" s="28" t="s">
        <v>6</v>
      </c>
      <c r="BB14" s="29" t="s">
        <v>7</v>
      </c>
      <c r="BC14" s="28" t="s">
        <v>6</v>
      </c>
      <c r="BD14" s="29" t="s">
        <v>8</v>
      </c>
      <c r="BE14" s="28" t="s">
        <v>7</v>
      </c>
      <c r="BF14" s="29" t="s">
        <v>8</v>
      </c>
    </row>
    <row r="15" spans="1:58" x14ac:dyDescent="0.25">
      <c r="A15" s="27" t="s">
        <v>12</v>
      </c>
      <c r="B15" s="27" t="s">
        <v>7</v>
      </c>
      <c r="C15">
        <v>66.333299999999994</v>
      </c>
      <c r="D15"/>
      <c r="E15">
        <v>67.833299999999994</v>
      </c>
      <c r="F15"/>
      <c r="G15">
        <v>66.5</v>
      </c>
      <c r="H15"/>
      <c r="I15">
        <v>69.166700000000006</v>
      </c>
      <c r="J15"/>
      <c r="K15">
        <v>76.5</v>
      </c>
      <c r="L15"/>
      <c r="M15">
        <v>70.5</v>
      </c>
      <c r="N15"/>
      <c r="O15">
        <v>70</v>
      </c>
      <c r="P15"/>
      <c r="Q15">
        <v>71.666700000000006</v>
      </c>
      <c r="R15"/>
      <c r="S15">
        <v>75.5</v>
      </c>
      <c r="T15"/>
      <c r="U15">
        <v>70.833299999999994</v>
      </c>
      <c r="V15"/>
      <c r="W15">
        <v>75.5</v>
      </c>
      <c r="X15"/>
      <c r="Y15">
        <v>74.166700000000006</v>
      </c>
      <c r="Z15"/>
      <c r="AA15">
        <v>68.333299999999994</v>
      </c>
      <c r="AB15"/>
      <c r="AC15">
        <v>73.166700000000006</v>
      </c>
      <c r="AD15"/>
      <c r="AE15">
        <v>66.666700000000006</v>
      </c>
      <c r="AF15"/>
      <c r="AG15">
        <v>64</v>
      </c>
      <c r="AH15"/>
      <c r="AI15">
        <v>78.666700000000006</v>
      </c>
      <c r="AJ15"/>
      <c r="AK15">
        <v>69.5</v>
      </c>
      <c r="AL15"/>
      <c r="AM15">
        <v>70.333299999999994</v>
      </c>
      <c r="AN15"/>
      <c r="AO15">
        <v>67.666700000000006</v>
      </c>
      <c r="AP15"/>
      <c r="AQ15">
        <v>76.833299999999994</v>
      </c>
      <c r="AR15"/>
      <c r="AS15">
        <v>72.166700000000006</v>
      </c>
      <c r="AT15"/>
      <c r="AU15">
        <v>74.333299999999994</v>
      </c>
      <c r="AV15"/>
      <c r="AW15">
        <v>67</v>
      </c>
      <c r="AX15"/>
      <c r="AY15">
        <v>67.833299999999994</v>
      </c>
      <c r="AZ15"/>
      <c r="BA15">
        <v>75.666700000000006</v>
      </c>
      <c r="BB15"/>
      <c r="BC15">
        <v>77.666700000000006</v>
      </c>
      <c r="BD15"/>
      <c r="BE15">
        <v>69.333299999999994</v>
      </c>
      <c r="BF15" s="26"/>
    </row>
    <row r="16" spans="1:58" x14ac:dyDescent="0.25">
      <c r="B16" s="26">
        <f>AVERAGE(C15,E15,G15,I15,K15,M15,O15,Q15,S15,U15,W15,Y15,AA15,AC15,AE15,AG15,AI15,AK15,AM15,AO15,AQ15,AS15,AU15,AW15,AY15,BA15,BC15,BE15)</f>
        <v>71.202382142857147</v>
      </c>
      <c r="C16" s="25" t="s">
        <v>1</v>
      </c>
      <c r="D16" s="26" t="s">
        <v>2</v>
      </c>
      <c r="E16" s="25" t="s">
        <v>1</v>
      </c>
      <c r="F16" s="26" t="s">
        <v>3</v>
      </c>
      <c r="G16" s="25" t="s">
        <v>1</v>
      </c>
      <c r="H16" s="26" t="s">
        <v>4</v>
      </c>
      <c r="I16" s="25" t="s">
        <v>1</v>
      </c>
      <c r="J16" s="26" t="s">
        <v>5</v>
      </c>
      <c r="K16" s="25" t="s">
        <v>1</v>
      </c>
      <c r="L16" s="26" t="s">
        <v>6</v>
      </c>
      <c r="M16" s="25" t="s">
        <v>1</v>
      </c>
      <c r="N16" s="26" t="s">
        <v>7</v>
      </c>
      <c r="O16" s="25" t="s">
        <v>1</v>
      </c>
      <c r="P16" s="26" t="s">
        <v>8</v>
      </c>
      <c r="Q16" s="28" t="s">
        <v>9</v>
      </c>
      <c r="R16" s="29" t="s">
        <v>3</v>
      </c>
      <c r="S16" s="28" t="s">
        <v>9</v>
      </c>
      <c r="T16" s="29" t="s">
        <v>10</v>
      </c>
      <c r="U16" s="28" t="s">
        <v>9</v>
      </c>
      <c r="V16" s="29" t="s">
        <v>11</v>
      </c>
      <c r="W16" s="28" t="s">
        <v>9</v>
      </c>
      <c r="X16" s="29" t="s">
        <v>6</v>
      </c>
      <c r="Y16" s="28" t="s">
        <v>9</v>
      </c>
      <c r="Z16" s="29" t="s">
        <v>7</v>
      </c>
      <c r="AA16" s="28" t="s">
        <v>9</v>
      </c>
      <c r="AB16" s="29" t="s">
        <v>8</v>
      </c>
      <c r="AC16" s="28" t="s">
        <v>3</v>
      </c>
      <c r="AD16" s="29" t="s">
        <v>10</v>
      </c>
      <c r="AE16" s="28" t="s">
        <v>3</v>
      </c>
      <c r="AF16" s="29" t="s">
        <v>11</v>
      </c>
      <c r="AG16" s="28" t="s">
        <v>3</v>
      </c>
      <c r="AH16" s="29" t="s">
        <v>6</v>
      </c>
      <c r="AI16" s="28" t="s">
        <v>3</v>
      </c>
      <c r="AJ16" s="29" t="s">
        <v>7</v>
      </c>
      <c r="AK16" s="28" t="s">
        <v>3</v>
      </c>
      <c r="AL16" s="29" t="s">
        <v>8</v>
      </c>
      <c r="AM16" s="28" t="s">
        <v>10</v>
      </c>
      <c r="AN16" s="29" t="s">
        <v>11</v>
      </c>
      <c r="AO16" s="28" t="s">
        <v>10</v>
      </c>
      <c r="AP16" s="29" t="s">
        <v>6</v>
      </c>
      <c r="AQ16" s="28" t="s">
        <v>10</v>
      </c>
      <c r="AR16" s="29" t="s">
        <v>7</v>
      </c>
      <c r="AS16" s="28" t="s">
        <v>10</v>
      </c>
      <c r="AT16" s="29" t="s">
        <v>8</v>
      </c>
      <c r="AU16" s="28" t="s">
        <v>11</v>
      </c>
      <c r="AV16" s="29" t="s">
        <v>6</v>
      </c>
      <c r="AW16" s="28" t="s">
        <v>11</v>
      </c>
      <c r="AX16" s="29" t="s">
        <v>7</v>
      </c>
      <c r="AY16" s="28" t="s">
        <v>11</v>
      </c>
      <c r="AZ16" s="29" t="s">
        <v>8</v>
      </c>
      <c r="BA16" s="28" t="s">
        <v>6</v>
      </c>
      <c r="BB16" s="29" t="s">
        <v>7</v>
      </c>
      <c r="BC16" s="28" t="s">
        <v>6</v>
      </c>
      <c r="BD16" s="29" t="s">
        <v>8</v>
      </c>
      <c r="BE16" s="28" t="s">
        <v>7</v>
      </c>
      <c r="BF16" s="29" t="s">
        <v>8</v>
      </c>
    </row>
    <row r="17" spans="1:58" x14ac:dyDescent="0.25">
      <c r="A17" s="27" t="s">
        <v>12</v>
      </c>
      <c r="B17" s="27" t="s">
        <v>8</v>
      </c>
      <c r="C17">
        <v>93.5</v>
      </c>
      <c r="D17"/>
      <c r="E17">
        <v>80.833299999999994</v>
      </c>
      <c r="F17"/>
      <c r="G17">
        <v>74.833299999999994</v>
      </c>
      <c r="H17"/>
      <c r="I17">
        <v>92.5</v>
      </c>
      <c r="J17"/>
      <c r="K17">
        <v>60.666699999999999</v>
      </c>
      <c r="L17"/>
      <c r="M17">
        <v>77</v>
      </c>
      <c r="N17"/>
      <c r="O17">
        <v>78.833299999999994</v>
      </c>
      <c r="P17"/>
      <c r="Q17">
        <v>77.833299999999994</v>
      </c>
      <c r="R17"/>
      <c r="S17">
        <v>82.833299999999994</v>
      </c>
      <c r="T17"/>
      <c r="U17">
        <v>74.166700000000006</v>
      </c>
      <c r="V17"/>
      <c r="W17">
        <v>68.5</v>
      </c>
      <c r="X17"/>
      <c r="Y17">
        <v>77.833299999999994</v>
      </c>
      <c r="Z17"/>
      <c r="AA17">
        <v>67.666700000000006</v>
      </c>
      <c r="AB17"/>
      <c r="AC17">
        <v>93.166700000000006</v>
      </c>
      <c r="AD17"/>
      <c r="AE17">
        <v>75.333299999999994</v>
      </c>
      <c r="AF17"/>
      <c r="AG17">
        <v>65</v>
      </c>
      <c r="AH17"/>
      <c r="AI17">
        <v>64.666700000000006</v>
      </c>
      <c r="AJ17"/>
      <c r="AK17">
        <v>79.666700000000006</v>
      </c>
      <c r="AL17"/>
      <c r="AM17">
        <v>93.5</v>
      </c>
      <c r="AN17"/>
      <c r="AO17">
        <v>71.166700000000006</v>
      </c>
      <c r="AP17"/>
      <c r="AQ17">
        <v>63.333300000000001</v>
      </c>
      <c r="AR17"/>
      <c r="AS17">
        <v>84.666700000000006</v>
      </c>
      <c r="AT17"/>
      <c r="AU17">
        <v>78.166700000000006</v>
      </c>
      <c r="AV17"/>
      <c r="AW17">
        <v>87.333299999999994</v>
      </c>
      <c r="AX17"/>
      <c r="AY17">
        <v>61.333300000000001</v>
      </c>
      <c r="AZ17"/>
      <c r="BA17">
        <v>82.5</v>
      </c>
      <c r="BB17"/>
      <c r="BC17">
        <v>66.166700000000006</v>
      </c>
      <c r="BD17"/>
      <c r="BE17">
        <v>76.5</v>
      </c>
      <c r="BF17" s="26"/>
    </row>
    <row r="18" spans="1:58" x14ac:dyDescent="0.25">
      <c r="B18" s="26">
        <f>AVERAGE(C17,E17,G17,I17,K17,M17,O17,Q17,S17,U17,W17,Y17,AA17,AC17,AE17,AG17,AI17,AK17,AM17,AO17,AQ17,AS17,AU17,AW17,AY17,BA17,BC17,BE17)</f>
        <v>76.767857142857139</v>
      </c>
    </row>
    <row r="19" spans="1:58" x14ac:dyDescent="0.25">
      <c r="A19" s="110" t="s">
        <v>13</v>
      </c>
      <c r="B19" s="110"/>
      <c r="C19" s="25">
        <v>1</v>
      </c>
      <c r="D19" s="26"/>
      <c r="E19" s="25">
        <v>2</v>
      </c>
      <c r="F19" s="26"/>
      <c r="G19" s="25">
        <v>3</v>
      </c>
      <c r="H19" s="26"/>
      <c r="I19" s="25">
        <v>4</v>
      </c>
      <c r="J19" s="26"/>
      <c r="K19" s="25">
        <v>5</v>
      </c>
      <c r="L19" s="26"/>
      <c r="M19" s="25">
        <v>6</v>
      </c>
      <c r="N19" s="26"/>
      <c r="O19" s="25">
        <v>7</v>
      </c>
      <c r="P19" s="26"/>
      <c r="Q19" s="25">
        <v>1</v>
      </c>
      <c r="R19" s="26"/>
      <c r="S19" s="25">
        <v>2</v>
      </c>
      <c r="T19" s="26"/>
      <c r="U19" s="25">
        <v>3</v>
      </c>
      <c r="V19" s="26"/>
      <c r="W19" s="25">
        <v>4</v>
      </c>
      <c r="X19" s="26"/>
      <c r="Y19" s="25">
        <v>5</v>
      </c>
      <c r="Z19" s="26"/>
      <c r="AA19" s="25">
        <v>6</v>
      </c>
      <c r="AB19" s="26"/>
      <c r="AC19" s="25">
        <v>1</v>
      </c>
      <c r="AD19" s="26"/>
      <c r="AE19" s="25">
        <v>2</v>
      </c>
      <c r="AF19" s="26"/>
      <c r="AG19" s="25">
        <v>3</v>
      </c>
      <c r="AH19" s="26"/>
      <c r="AI19" s="25">
        <v>4</v>
      </c>
      <c r="AJ19" s="26"/>
      <c r="AK19" s="25">
        <v>5</v>
      </c>
      <c r="AL19" s="26"/>
      <c r="AM19" s="25">
        <v>1</v>
      </c>
      <c r="AN19" s="26"/>
      <c r="AO19" s="25">
        <v>2</v>
      </c>
      <c r="AP19" s="26"/>
      <c r="AQ19" s="25">
        <v>3</v>
      </c>
      <c r="AR19" s="26"/>
      <c r="AS19" s="25">
        <v>4</v>
      </c>
      <c r="AT19" s="26"/>
      <c r="AU19" s="25">
        <v>1</v>
      </c>
      <c r="AV19" s="26"/>
      <c r="AW19" s="25">
        <v>2</v>
      </c>
      <c r="AX19" s="26"/>
      <c r="AY19" s="25">
        <v>3</v>
      </c>
      <c r="AZ19" s="26"/>
      <c r="BA19" s="25">
        <v>1</v>
      </c>
      <c r="BB19" s="26"/>
      <c r="BC19" s="25">
        <v>2</v>
      </c>
      <c r="BD19" s="26"/>
      <c r="BE19" s="25">
        <v>1</v>
      </c>
      <c r="BF19" s="26"/>
    </row>
    <row r="20" spans="1:58" x14ac:dyDescent="0.25">
      <c r="A20" s="110"/>
      <c r="B20" s="110"/>
      <c r="C20" s="25" t="s">
        <v>1</v>
      </c>
      <c r="D20" s="26" t="s">
        <v>2</v>
      </c>
      <c r="E20" s="25" t="s">
        <v>1</v>
      </c>
      <c r="F20" s="26" t="s">
        <v>3</v>
      </c>
      <c r="G20" s="25" t="s">
        <v>1</v>
      </c>
      <c r="H20" s="26" t="s">
        <v>4</v>
      </c>
      <c r="I20" s="25" t="s">
        <v>1</v>
      </c>
      <c r="J20" s="26" t="s">
        <v>5</v>
      </c>
      <c r="K20" s="25" t="s">
        <v>1</v>
      </c>
      <c r="L20" s="26" t="s">
        <v>6</v>
      </c>
      <c r="M20" s="25" t="s">
        <v>1</v>
      </c>
      <c r="N20" s="26" t="s">
        <v>7</v>
      </c>
      <c r="O20" s="25" t="s">
        <v>1</v>
      </c>
      <c r="P20" s="26" t="s">
        <v>8</v>
      </c>
      <c r="Q20" s="28" t="s">
        <v>9</v>
      </c>
      <c r="R20" s="29" t="s">
        <v>3</v>
      </c>
      <c r="S20" s="28" t="s">
        <v>9</v>
      </c>
      <c r="T20" s="29" t="s">
        <v>10</v>
      </c>
      <c r="U20" s="28" t="s">
        <v>9</v>
      </c>
      <c r="V20" s="29" t="s">
        <v>11</v>
      </c>
      <c r="W20" s="28" t="s">
        <v>9</v>
      </c>
      <c r="X20" s="29" t="s">
        <v>6</v>
      </c>
      <c r="Y20" s="28" t="s">
        <v>9</v>
      </c>
      <c r="Z20" s="29" t="s">
        <v>7</v>
      </c>
      <c r="AA20" s="28" t="s">
        <v>9</v>
      </c>
      <c r="AB20" s="29" t="s">
        <v>8</v>
      </c>
      <c r="AC20" s="28" t="s">
        <v>3</v>
      </c>
      <c r="AD20" s="29" t="s">
        <v>10</v>
      </c>
      <c r="AE20" s="28" t="s">
        <v>3</v>
      </c>
      <c r="AF20" s="29" t="s">
        <v>11</v>
      </c>
      <c r="AG20" s="28" t="s">
        <v>3</v>
      </c>
      <c r="AH20" s="29" t="s">
        <v>6</v>
      </c>
      <c r="AI20" s="28" t="s">
        <v>3</v>
      </c>
      <c r="AJ20" s="29" t="s">
        <v>7</v>
      </c>
      <c r="AK20" s="28" t="s">
        <v>3</v>
      </c>
      <c r="AL20" s="29" t="s">
        <v>8</v>
      </c>
      <c r="AM20" s="28" t="s">
        <v>10</v>
      </c>
      <c r="AN20" s="29" t="s">
        <v>11</v>
      </c>
      <c r="AO20" s="28" t="s">
        <v>10</v>
      </c>
      <c r="AP20" s="29" t="s">
        <v>6</v>
      </c>
      <c r="AQ20" s="28" t="s">
        <v>10</v>
      </c>
      <c r="AR20" s="29" t="s">
        <v>7</v>
      </c>
      <c r="AS20" s="28" t="s">
        <v>10</v>
      </c>
      <c r="AT20" s="29" t="s">
        <v>8</v>
      </c>
      <c r="AU20" s="28" t="s">
        <v>11</v>
      </c>
      <c r="AV20" s="29" t="s">
        <v>6</v>
      </c>
      <c r="AW20" s="28" t="s">
        <v>11</v>
      </c>
      <c r="AX20" s="29" t="s">
        <v>7</v>
      </c>
      <c r="AY20" s="28" t="s">
        <v>11</v>
      </c>
      <c r="AZ20" s="29" t="s">
        <v>8</v>
      </c>
      <c r="BA20" s="28" t="s">
        <v>6</v>
      </c>
      <c r="BB20" s="29" t="s">
        <v>7</v>
      </c>
      <c r="BC20" s="28" t="s">
        <v>6</v>
      </c>
      <c r="BD20" s="29" t="s">
        <v>8</v>
      </c>
      <c r="BE20" s="28" t="s">
        <v>7</v>
      </c>
      <c r="BF20" s="29" t="s">
        <v>8</v>
      </c>
    </row>
    <row r="21" spans="1:58" x14ac:dyDescent="0.25">
      <c r="A21" s="27" t="s">
        <v>12</v>
      </c>
      <c r="B21" s="27" t="s">
        <v>1</v>
      </c>
      <c r="C21">
        <v>89.5</v>
      </c>
      <c r="D21"/>
      <c r="E21">
        <v>91.833299999999994</v>
      </c>
      <c r="F21"/>
      <c r="G21">
        <v>88.5</v>
      </c>
      <c r="H21"/>
      <c r="I21">
        <v>90.5</v>
      </c>
      <c r="J21"/>
      <c r="K21">
        <v>88.333299999999994</v>
      </c>
      <c r="L21"/>
      <c r="M21">
        <v>93.166700000000006</v>
      </c>
      <c r="N21"/>
      <c r="O21">
        <v>91.166700000000006</v>
      </c>
      <c r="P21"/>
      <c r="Q21">
        <v>87.833299999999994</v>
      </c>
      <c r="R21"/>
      <c r="S21">
        <v>87</v>
      </c>
      <c r="T21"/>
      <c r="U21">
        <v>87.5</v>
      </c>
      <c r="V21"/>
      <c r="W21">
        <v>91.166700000000006</v>
      </c>
      <c r="X21"/>
      <c r="Y21">
        <v>92</v>
      </c>
      <c r="Z21"/>
      <c r="AA21">
        <v>89.666700000000006</v>
      </c>
      <c r="AB21"/>
      <c r="AC21">
        <v>91.333299999999994</v>
      </c>
      <c r="AD21"/>
      <c r="AE21">
        <v>91.333299999999994</v>
      </c>
      <c r="AF21"/>
      <c r="AG21">
        <v>89.666700000000006</v>
      </c>
      <c r="AH21"/>
      <c r="AI21">
        <v>88.5</v>
      </c>
      <c r="AJ21"/>
      <c r="AK21">
        <v>89.333299999999994</v>
      </c>
      <c r="AL21"/>
      <c r="AM21">
        <v>87.166700000000006</v>
      </c>
      <c r="AN21"/>
      <c r="AO21">
        <v>89.833299999999994</v>
      </c>
      <c r="AP21"/>
      <c r="AQ21">
        <v>90.666700000000006</v>
      </c>
      <c r="AR21"/>
      <c r="AS21">
        <v>90.833299999999994</v>
      </c>
      <c r="AT21"/>
      <c r="AU21">
        <v>90</v>
      </c>
      <c r="AV21"/>
      <c r="AW21">
        <v>89.666700000000006</v>
      </c>
      <c r="AX21"/>
      <c r="AY21">
        <v>91.333299999999994</v>
      </c>
      <c r="AZ21"/>
      <c r="BA21">
        <v>90.666700000000006</v>
      </c>
      <c r="BB21"/>
      <c r="BC21">
        <v>88.833299999999994</v>
      </c>
      <c r="BD21"/>
      <c r="BE21">
        <v>91.166700000000006</v>
      </c>
      <c r="BF21" s="26"/>
    </row>
    <row r="22" spans="1:58" x14ac:dyDescent="0.25">
      <c r="B22" s="26">
        <f>AVERAGE(C21,E21,G21,I21,K21,M21,O21,Q21,S21,U21,W21,Y21,AA21,AC21,AE21,AG21,AI21,AK21,AM21,AO21,AQ21,AS21,AU21,AW21,AY21,BA21,BC21,BE21)</f>
        <v>89.946428571428584</v>
      </c>
      <c r="C22" s="25" t="s">
        <v>1</v>
      </c>
      <c r="D22" s="26" t="s">
        <v>2</v>
      </c>
      <c r="E22" s="25" t="s">
        <v>1</v>
      </c>
      <c r="F22" s="26" t="s">
        <v>3</v>
      </c>
      <c r="G22" s="25" t="s">
        <v>1</v>
      </c>
      <c r="H22" s="26" t="s">
        <v>4</v>
      </c>
      <c r="I22" s="25" t="s">
        <v>1</v>
      </c>
      <c r="J22" s="26" t="s">
        <v>5</v>
      </c>
      <c r="K22" s="25" t="s">
        <v>1</v>
      </c>
      <c r="L22" s="26" t="s">
        <v>6</v>
      </c>
      <c r="M22" s="25" t="s">
        <v>1</v>
      </c>
      <c r="N22" s="26" t="s">
        <v>7</v>
      </c>
      <c r="O22" s="25" t="s">
        <v>1</v>
      </c>
      <c r="P22" s="26" t="s">
        <v>8</v>
      </c>
      <c r="Q22" s="28" t="s">
        <v>9</v>
      </c>
      <c r="R22" s="29" t="s">
        <v>3</v>
      </c>
      <c r="S22" s="28" t="s">
        <v>9</v>
      </c>
      <c r="T22" s="29" t="s">
        <v>10</v>
      </c>
      <c r="U22" s="28" t="s">
        <v>9</v>
      </c>
      <c r="V22" s="29" t="s">
        <v>11</v>
      </c>
      <c r="W22" s="28" t="s">
        <v>9</v>
      </c>
      <c r="X22" s="29" t="s">
        <v>6</v>
      </c>
      <c r="Y22" s="28" t="s">
        <v>9</v>
      </c>
      <c r="Z22" s="29" t="s">
        <v>7</v>
      </c>
      <c r="AA22" s="28" t="s">
        <v>9</v>
      </c>
      <c r="AB22" s="29" t="s">
        <v>8</v>
      </c>
      <c r="AC22" s="28" t="s">
        <v>3</v>
      </c>
      <c r="AD22" s="29" t="s">
        <v>10</v>
      </c>
      <c r="AE22" s="28" t="s">
        <v>3</v>
      </c>
      <c r="AF22" s="29" t="s">
        <v>11</v>
      </c>
      <c r="AG22" s="28" t="s">
        <v>3</v>
      </c>
      <c r="AH22" s="29" t="s">
        <v>6</v>
      </c>
      <c r="AI22" s="28" t="s">
        <v>3</v>
      </c>
      <c r="AJ22" s="29" t="s">
        <v>7</v>
      </c>
      <c r="AK22" s="28" t="s">
        <v>3</v>
      </c>
      <c r="AL22" s="29" t="s">
        <v>8</v>
      </c>
      <c r="AM22" s="28" t="s">
        <v>10</v>
      </c>
      <c r="AN22" s="29" t="s">
        <v>11</v>
      </c>
      <c r="AO22" s="28" t="s">
        <v>10</v>
      </c>
      <c r="AP22" s="29" t="s">
        <v>6</v>
      </c>
      <c r="AQ22" s="28" t="s">
        <v>10</v>
      </c>
      <c r="AR22" s="29" t="s">
        <v>7</v>
      </c>
      <c r="AS22" s="28" t="s">
        <v>10</v>
      </c>
      <c r="AT22" s="29" t="s">
        <v>8</v>
      </c>
      <c r="AU22" s="28" t="s">
        <v>11</v>
      </c>
      <c r="AV22" s="29" t="s">
        <v>6</v>
      </c>
      <c r="AW22" s="28" t="s">
        <v>11</v>
      </c>
      <c r="AX22" s="29" t="s">
        <v>7</v>
      </c>
      <c r="AY22" s="28" t="s">
        <v>11</v>
      </c>
      <c r="AZ22" s="29" t="s">
        <v>8</v>
      </c>
      <c r="BA22" s="28" t="s">
        <v>6</v>
      </c>
      <c r="BB22" s="29" t="s">
        <v>7</v>
      </c>
      <c r="BC22" s="28" t="s">
        <v>6</v>
      </c>
      <c r="BD22" s="29" t="s">
        <v>8</v>
      </c>
      <c r="BE22" s="28" t="s">
        <v>7</v>
      </c>
      <c r="BF22" s="29" t="s">
        <v>8</v>
      </c>
    </row>
    <row r="23" spans="1:58" x14ac:dyDescent="0.25">
      <c r="A23" s="27" t="s">
        <v>12</v>
      </c>
      <c r="B23" s="27" t="s">
        <v>2</v>
      </c>
      <c r="C23">
        <v>96.5</v>
      </c>
      <c r="D23"/>
      <c r="E23">
        <v>97.166700000000006</v>
      </c>
      <c r="F23"/>
      <c r="G23">
        <v>96.333299999999994</v>
      </c>
      <c r="H23"/>
      <c r="I23">
        <v>97.5</v>
      </c>
      <c r="J23"/>
      <c r="K23">
        <v>96</v>
      </c>
      <c r="L23"/>
      <c r="M23">
        <v>94.166700000000006</v>
      </c>
      <c r="N23"/>
      <c r="O23">
        <v>97.333299999999994</v>
      </c>
      <c r="P23"/>
      <c r="Q23">
        <v>96.5</v>
      </c>
      <c r="R23"/>
      <c r="S23">
        <v>95.833299999999994</v>
      </c>
      <c r="T23"/>
      <c r="U23">
        <v>97.833299999999994</v>
      </c>
      <c r="V23"/>
      <c r="W23">
        <v>95.833299999999994</v>
      </c>
      <c r="X23"/>
      <c r="Y23">
        <v>97</v>
      </c>
      <c r="Z23"/>
      <c r="AA23">
        <v>95.333299999999994</v>
      </c>
      <c r="AB23"/>
      <c r="AC23">
        <v>96.5</v>
      </c>
      <c r="AD23"/>
      <c r="AE23">
        <v>95.666700000000006</v>
      </c>
      <c r="AF23"/>
      <c r="AG23">
        <v>95</v>
      </c>
      <c r="AH23"/>
      <c r="AI23">
        <v>97.666700000000006</v>
      </c>
      <c r="AJ23"/>
      <c r="AK23">
        <v>96.666700000000006</v>
      </c>
      <c r="AL23"/>
      <c r="AM23">
        <v>96</v>
      </c>
      <c r="AN23"/>
      <c r="AO23">
        <v>96.333299999999994</v>
      </c>
      <c r="AP23"/>
      <c r="AQ23">
        <v>97.5</v>
      </c>
      <c r="AR23"/>
      <c r="AS23">
        <v>96.333299999999994</v>
      </c>
      <c r="AT23"/>
      <c r="AU23">
        <v>96.5</v>
      </c>
      <c r="AV23"/>
      <c r="AW23">
        <v>96.5</v>
      </c>
      <c r="AX23"/>
      <c r="AY23">
        <v>97.5</v>
      </c>
      <c r="AZ23"/>
      <c r="BA23">
        <v>96.833299999999994</v>
      </c>
      <c r="BB23"/>
      <c r="BC23">
        <v>97.333299999999994</v>
      </c>
      <c r="BD23"/>
      <c r="BE23">
        <v>96.666700000000006</v>
      </c>
      <c r="BF23" s="26"/>
    </row>
    <row r="24" spans="1:58" x14ac:dyDescent="0.25">
      <c r="B24" s="26">
        <f>AVERAGE(C23,E23,G23,I23,K23,M23,O23,Q23,S23,U23,W23,Y23,AA23,AC23,AE23,AG23,AI23,AK23,AM23,AO23,AQ23,AS23,AU23,AW23,AY23,BA23,BC23,BE23)</f>
        <v>96.511899999999983</v>
      </c>
      <c r="C24" s="25" t="s">
        <v>1</v>
      </c>
      <c r="D24" s="26" t="s">
        <v>2</v>
      </c>
      <c r="E24" s="25" t="s">
        <v>1</v>
      </c>
      <c r="F24" s="26" t="s">
        <v>3</v>
      </c>
      <c r="G24" s="25" t="s">
        <v>1</v>
      </c>
      <c r="H24" s="26" t="s">
        <v>4</v>
      </c>
      <c r="I24" s="25" t="s">
        <v>1</v>
      </c>
      <c r="J24" s="26" t="s">
        <v>5</v>
      </c>
      <c r="K24" s="25" t="s">
        <v>1</v>
      </c>
      <c r="L24" s="26" t="s">
        <v>6</v>
      </c>
      <c r="M24" s="25" t="s">
        <v>1</v>
      </c>
      <c r="N24" s="26" t="s">
        <v>7</v>
      </c>
      <c r="O24" s="25" t="s">
        <v>1</v>
      </c>
      <c r="P24" s="26" t="s">
        <v>8</v>
      </c>
      <c r="Q24" s="28" t="s">
        <v>9</v>
      </c>
      <c r="R24" s="29" t="s">
        <v>3</v>
      </c>
      <c r="S24" s="28" t="s">
        <v>9</v>
      </c>
      <c r="T24" s="29" t="s">
        <v>10</v>
      </c>
      <c r="U24" s="28" t="s">
        <v>9</v>
      </c>
      <c r="V24" s="29" t="s">
        <v>11</v>
      </c>
      <c r="W24" s="28" t="s">
        <v>9</v>
      </c>
      <c r="X24" s="29" t="s">
        <v>6</v>
      </c>
      <c r="Y24" s="28" t="s">
        <v>9</v>
      </c>
      <c r="Z24" s="29" t="s">
        <v>7</v>
      </c>
      <c r="AA24" s="28" t="s">
        <v>9</v>
      </c>
      <c r="AB24" s="29" t="s">
        <v>8</v>
      </c>
      <c r="AC24" s="28" t="s">
        <v>3</v>
      </c>
      <c r="AD24" s="29" t="s">
        <v>10</v>
      </c>
      <c r="AE24" s="28" t="s">
        <v>3</v>
      </c>
      <c r="AF24" s="29" t="s">
        <v>11</v>
      </c>
      <c r="AG24" s="28" t="s">
        <v>3</v>
      </c>
      <c r="AH24" s="29" t="s">
        <v>6</v>
      </c>
      <c r="AI24" s="28" t="s">
        <v>3</v>
      </c>
      <c r="AJ24" s="29" t="s">
        <v>7</v>
      </c>
      <c r="AK24" s="28" t="s">
        <v>3</v>
      </c>
      <c r="AL24" s="29" t="s">
        <v>8</v>
      </c>
      <c r="AM24" s="28" t="s">
        <v>10</v>
      </c>
      <c r="AN24" s="29" t="s">
        <v>11</v>
      </c>
      <c r="AO24" s="28" t="s">
        <v>10</v>
      </c>
      <c r="AP24" s="29" t="s">
        <v>6</v>
      </c>
      <c r="AQ24" s="28" t="s">
        <v>10</v>
      </c>
      <c r="AR24" s="29" t="s">
        <v>7</v>
      </c>
      <c r="AS24" s="28" t="s">
        <v>10</v>
      </c>
      <c r="AT24" s="29" t="s">
        <v>8</v>
      </c>
      <c r="AU24" s="28" t="s">
        <v>11</v>
      </c>
      <c r="AV24" s="29" t="s">
        <v>6</v>
      </c>
      <c r="AW24" s="28" t="s">
        <v>11</v>
      </c>
      <c r="AX24" s="29" t="s">
        <v>7</v>
      </c>
      <c r="AY24" s="28" t="s">
        <v>11</v>
      </c>
      <c r="AZ24" s="29" t="s">
        <v>8</v>
      </c>
      <c r="BA24" s="28" t="s">
        <v>6</v>
      </c>
      <c r="BB24" s="29" t="s">
        <v>7</v>
      </c>
      <c r="BC24" s="28" t="s">
        <v>6</v>
      </c>
      <c r="BD24" s="29" t="s">
        <v>8</v>
      </c>
      <c r="BE24" s="28" t="s">
        <v>7</v>
      </c>
      <c r="BF24" s="29" t="s">
        <v>8</v>
      </c>
    </row>
    <row r="25" spans="1:58" x14ac:dyDescent="0.25">
      <c r="A25" s="27" t="s">
        <v>12</v>
      </c>
      <c r="B25" s="27" t="s">
        <v>3</v>
      </c>
      <c r="C25">
        <v>99.833299999999994</v>
      </c>
      <c r="D25"/>
      <c r="E25">
        <v>99.333299999999994</v>
      </c>
      <c r="F25"/>
      <c r="G25">
        <v>99.333299999999994</v>
      </c>
      <c r="H25"/>
      <c r="I25">
        <v>99.666700000000006</v>
      </c>
      <c r="J25"/>
      <c r="K25">
        <v>99.833299999999994</v>
      </c>
      <c r="L25"/>
      <c r="M25">
        <v>99.5</v>
      </c>
      <c r="N25"/>
      <c r="O25">
        <v>99.666700000000006</v>
      </c>
      <c r="P25"/>
      <c r="Q25">
        <v>99.333299999999994</v>
      </c>
      <c r="R25"/>
      <c r="S25">
        <v>99</v>
      </c>
      <c r="T25"/>
      <c r="U25">
        <v>99.833299999999994</v>
      </c>
      <c r="V25"/>
      <c r="W25">
        <v>99.833299999999994</v>
      </c>
      <c r="X25"/>
      <c r="Y25">
        <v>99.333299999999994</v>
      </c>
      <c r="Z25"/>
      <c r="AA25">
        <v>99.333299999999994</v>
      </c>
      <c r="AB25"/>
      <c r="AC25">
        <v>99.333299999999994</v>
      </c>
      <c r="AD25"/>
      <c r="AE25">
        <v>99.333299999999994</v>
      </c>
      <c r="AF25"/>
      <c r="AG25">
        <v>99.666700000000006</v>
      </c>
      <c r="AH25"/>
      <c r="AI25">
        <v>99.333299999999994</v>
      </c>
      <c r="AJ25"/>
      <c r="AK25">
        <v>99.333299999999994</v>
      </c>
      <c r="AL25"/>
      <c r="AM25">
        <v>99.833299999999994</v>
      </c>
      <c r="AN25"/>
      <c r="AO25">
        <v>99.333299999999994</v>
      </c>
      <c r="AP25"/>
      <c r="AQ25">
        <v>99.333299999999994</v>
      </c>
      <c r="AR25"/>
      <c r="AS25">
        <v>99.333299999999994</v>
      </c>
      <c r="AT25"/>
      <c r="AU25">
        <v>99.166700000000006</v>
      </c>
      <c r="AV25"/>
      <c r="AW25">
        <v>99.5</v>
      </c>
      <c r="AX25"/>
      <c r="AY25">
        <v>99.333299999999994</v>
      </c>
      <c r="AZ25"/>
      <c r="BA25">
        <v>98.333299999999994</v>
      </c>
      <c r="BB25"/>
      <c r="BC25">
        <v>99.333299999999994</v>
      </c>
      <c r="BD25"/>
      <c r="BE25">
        <v>99.666700000000006</v>
      </c>
      <c r="BF25" s="26"/>
    </row>
    <row r="26" spans="1:58" x14ac:dyDescent="0.25">
      <c r="B26" s="26">
        <f>AVERAGE(C25,E25,G25,I25,K25,M25,O25,Q25,S25,U25,W25,Y25,AA25,AC25,AE25,AG25,AI25,AK25,AM25,AO25,AQ25,AS25,AU25,AW25,AY25,BA25,BC25,BE25)</f>
        <v>99.428553571428552</v>
      </c>
      <c r="C26" s="25" t="s">
        <v>1</v>
      </c>
      <c r="D26" s="26" t="s">
        <v>2</v>
      </c>
      <c r="E26" s="25" t="s">
        <v>1</v>
      </c>
      <c r="F26" s="26" t="s">
        <v>3</v>
      </c>
      <c r="G26" s="25" t="s">
        <v>1</v>
      </c>
      <c r="H26" s="26" t="s">
        <v>4</v>
      </c>
      <c r="I26" s="25" t="s">
        <v>1</v>
      </c>
      <c r="J26" s="26" t="s">
        <v>5</v>
      </c>
      <c r="K26" s="25" t="s">
        <v>1</v>
      </c>
      <c r="L26" s="26" t="s">
        <v>6</v>
      </c>
      <c r="M26" s="25" t="s">
        <v>1</v>
      </c>
      <c r="N26" s="26" t="s">
        <v>7</v>
      </c>
      <c r="O26" s="25" t="s">
        <v>1</v>
      </c>
      <c r="P26" s="26" t="s">
        <v>8</v>
      </c>
      <c r="Q26" s="28" t="s">
        <v>9</v>
      </c>
      <c r="R26" s="29" t="s">
        <v>3</v>
      </c>
      <c r="S26" s="28" t="s">
        <v>9</v>
      </c>
      <c r="T26" s="29" t="s">
        <v>10</v>
      </c>
      <c r="U26" s="28" t="s">
        <v>9</v>
      </c>
      <c r="V26" s="29" t="s">
        <v>11</v>
      </c>
      <c r="W26" s="28" t="s">
        <v>9</v>
      </c>
      <c r="X26" s="29" t="s">
        <v>6</v>
      </c>
      <c r="Y26" s="28" t="s">
        <v>9</v>
      </c>
      <c r="Z26" s="29" t="s">
        <v>7</v>
      </c>
      <c r="AA26" s="28" t="s">
        <v>9</v>
      </c>
      <c r="AB26" s="29" t="s">
        <v>8</v>
      </c>
      <c r="AC26" s="28" t="s">
        <v>3</v>
      </c>
      <c r="AD26" s="29" t="s">
        <v>10</v>
      </c>
      <c r="AE26" s="28" t="s">
        <v>3</v>
      </c>
      <c r="AF26" s="29" t="s">
        <v>11</v>
      </c>
      <c r="AG26" s="28" t="s">
        <v>3</v>
      </c>
      <c r="AH26" s="29" t="s">
        <v>6</v>
      </c>
      <c r="AI26" s="28" t="s">
        <v>3</v>
      </c>
      <c r="AJ26" s="29" t="s">
        <v>7</v>
      </c>
      <c r="AK26" s="28" t="s">
        <v>3</v>
      </c>
      <c r="AL26" s="29" t="s">
        <v>8</v>
      </c>
      <c r="AM26" s="28" t="s">
        <v>10</v>
      </c>
      <c r="AN26" s="29" t="s">
        <v>11</v>
      </c>
      <c r="AO26" s="28" t="s">
        <v>10</v>
      </c>
      <c r="AP26" s="29" t="s">
        <v>6</v>
      </c>
      <c r="AQ26" s="28" t="s">
        <v>10</v>
      </c>
      <c r="AR26" s="29" t="s">
        <v>7</v>
      </c>
      <c r="AS26" s="28" t="s">
        <v>10</v>
      </c>
      <c r="AT26" s="29" t="s">
        <v>8</v>
      </c>
      <c r="AU26" s="28" t="s">
        <v>11</v>
      </c>
      <c r="AV26" s="29" t="s">
        <v>6</v>
      </c>
      <c r="AW26" s="28" t="s">
        <v>11</v>
      </c>
      <c r="AX26" s="29" t="s">
        <v>7</v>
      </c>
      <c r="AY26" s="28" t="s">
        <v>11</v>
      </c>
      <c r="AZ26" s="29" t="s">
        <v>8</v>
      </c>
      <c r="BA26" s="28" t="s">
        <v>6</v>
      </c>
      <c r="BB26" s="29" t="s">
        <v>7</v>
      </c>
      <c r="BC26" s="28" t="s">
        <v>6</v>
      </c>
      <c r="BD26" s="29" t="s">
        <v>8</v>
      </c>
      <c r="BE26" s="28" t="s">
        <v>7</v>
      </c>
      <c r="BF26" s="29" t="s">
        <v>8</v>
      </c>
    </row>
    <row r="27" spans="1:58" x14ac:dyDescent="0.25">
      <c r="A27" s="27" t="s">
        <v>12</v>
      </c>
      <c r="B27" s="27" t="s">
        <v>4</v>
      </c>
      <c r="C27">
        <v>66.333299999999994</v>
      </c>
      <c r="D27"/>
      <c r="E27">
        <v>75.333299999999994</v>
      </c>
      <c r="F27"/>
      <c r="G27">
        <v>71.333299999999994</v>
      </c>
      <c r="H27"/>
      <c r="I27">
        <v>76.5</v>
      </c>
      <c r="J27"/>
      <c r="K27">
        <v>62.5</v>
      </c>
      <c r="L27"/>
      <c r="M27">
        <v>69</v>
      </c>
      <c r="N27"/>
      <c r="O27">
        <v>74.166700000000006</v>
      </c>
      <c r="P27"/>
      <c r="Q27">
        <v>67</v>
      </c>
      <c r="R27"/>
      <c r="S27">
        <v>69.833299999999994</v>
      </c>
      <c r="T27"/>
      <c r="U27">
        <v>72.333299999999994</v>
      </c>
      <c r="V27"/>
      <c r="W27">
        <v>71.333299999999994</v>
      </c>
      <c r="X27"/>
      <c r="Y27">
        <v>69.833299999999994</v>
      </c>
      <c r="Z27"/>
      <c r="AA27">
        <v>68.833299999999994</v>
      </c>
      <c r="AB27"/>
      <c r="AC27">
        <v>68.833299999999994</v>
      </c>
      <c r="AD27"/>
      <c r="AE27">
        <v>69.333299999999994</v>
      </c>
      <c r="AF27"/>
      <c r="AG27">
        <v>69.5</v>
      </c>
      <c r="AH27"/>
      <c r="AI27">
        <v>70.833299999999994</v>
      </c>
      <c r="AJ27"/>
      <c r="AK27">
        <v>71.166700000000006</v>
      </c>
      <c r="AL27"/>
      <c r="AM27">
        <v>75</v>
      </c>
      <c r="AN27"/>
      <c r="AO27">
        <v>69.333299999999994</v>
      </c>
      <c r="AP27"/>
      <c r="AQ27">
        <v>69</v>
      </c>
      <c r="AR27"/>
      <c r="AS27">
        <v>74.333299999999994</v>
      </c>
      <c r="AT27"/>
      <c r="AU27">
        <v>74.333299999999994</v>
      </c>
      <c r="AV27"/>
      <c r="AW27">
        <v>74.166700000000006</v>
      </c>
      <c r="AX27"/>
      <c r="AY27">
        <v>74.333299999999994</v>
      </c>
      <c r="AZ27"/>
      <c r="BA27">
        <v>74.333299999999994</v>
      </c>
      <c r="BB27"/>
      <c r="BC27">
        <v>61.833300000000001</v>
      </c>
      <c r="BD27"/>
      <c r="BE27">
        <v>71.833299999999994</v>
      </c>
      <c r="BF27" s="26"/>
    </row>
    <row r="28" spans="1:58" x14ac:dyDescent="0.25">
      <c r="B28" s="26">
        <f>AVERAGE(C27,E27,G27,I27,K27,M27,O27,Q27,S27,U27,W27,Y27,AA27,AC27,AE27,AG27,AI27,AK27,AM27,AO27,AQ27,AS27,AU27,AW27,AY27,BA27,BC27,BE27)</f>
        <v>70.80355357142858</v>
      </c>
      <c r="C28" s="25" t="s">
        <v>1</v>
      </c>
      <c r="D28" s="26" t="s">
        <v>2</v>
      </c>
      <c r="E28" s="25" t="s">
        <v>1</v>
      </c>
      <c r="F28" s="26" t="s">
        <v>3</v>
      </c>
      <c r="G28" s="25" t="s">
        <v>1</v>
      </c>
      <c r="H28" s="26" t="s">
        <v>4</v>
      </c>
      <c r="I28" s="25" t="s">
        <v>1</v>
      </c>
      <c r="J28" s="26" t="s">
        <v>5</v>
      </c>
      <c r="K28" s="25" t="s">
        <v>1</v>
      </c>
      <c r="L28" s="26" t="s">
        <v>6</v>
      </c>
      <c r="M28" s="25" t="s">
        <v>1</v>
      </c>
      <c r="N28" s="26" t="s">
        <v>7</v>
      </c>
      <c r="O28" s="25" t="s">
        <v>1</v>
      </c>
      <c r="P28" s="26" t="s">
        <v>8</v>
      </c>
      <c r="Q28" s="28" t="s">
        <v>9</v>
      </c>
      <c r="R28" s="29" t="s">
        <v>3</v>
      </c>
      <c r="S28" s="28" t="s">
        <v>9</v>
      </c>
      <c r="T28" s="29" t="s">
        <v>10</v>
      </c>
      <c r="U28" s="28" t="s">
        <v>9</v>
      </c>
      <c r="V28" s="29" t="s">
        <v>11</v>
      </c>
      <c r="W28" s="28" t="s">
        <v>9</v>
      </c>
      <c r="X28" s="29" t="s">
        <v>6</v>
      </c>
      <c r="Y28" s="28" t="s">
        <v>9</v>
      </c>
      <c r="Z28" s="29" t="s">
        <v>7</v>
      </c>
      <c r="AA28" s="28" t="s">
        <v>9</v>
      </c>
      <c r="AB28" s="29" t="s">
        <v>8</v>
      </c>
      <c r="AC28" s="28" t="s">
        <v>3</v>
      </c>
      <c r="AD28" s="29" t="s">
        <v>10</v>
      </c>
      <c r="AE28" s="28" t="s">
        <v>3</v>
      </c>
      <c r="AF28" s="29" t="s">
        <v>11</v>
      </c>
      <c r="AG28" s="28" t="s">
        <v>3</v>
      </c>
      <c r="AH28" s="29" t="s">
        <v>6</v>
      </c>
      <c r="AI28" s="28" t="s">
        <v>3</v>
      </c>
      <c r="AJ28" s="29" t="s">
        <v>7</v>
      </c>
      <c r="AK28" s="28" t="s">
        <v>3</v>
      </c>
      <c r="AL28" s="29" t="s">
        <v>8</v>
      </c>
      <c r="AM28" s="28" t="s">
        <v>10</v>
      </c>
      <c r="AN28" s="29" t="s">
        <v>11</v>
      </c>
      <c r="AO28" s="28" t="s">
        <v>10</v>
      </c>
      <c r="AP28" s="29" t="s">
        <v>6</v>
      </c>
      <c r="AQ28" s="28" t="s">
        <v>10</v>
      </c>
      <c r="AR28" s="29" t="s">
        <v>7</v>
      </c>
      <c r="AS28" s="28" t="s">
        <v>10</v>
      </c>
      <c r="AT28" s="29" t="s">
        <v>8</v>
      </c>
      <c r="AU28" s="28" t="s">
        <v>11</v>
      </c>
      <c r="AV28" s="29" t="s">
        <v>6</v>
      </c>
      <c r="AW28" s="28" t="s">
        <v>11</v>
      </c>
      <c r="AX28" s="29" t="s">
        <v>7</v>
      </c>
      <c r="AY28" s="28" t="s">
        <v>11</v>
      </c>
      <c r="AZ28" s="29" t="s">
        <v>8</v>
      </c>
      <c r="BA28" s="28" t="s">
        <v>6</v>
      </c>
      <c r="BB28" s="29" t="s">
        <v>7</v>
      </c>
      <c r="BC28" s="28" t="s">
        <v>6</v>
      </c>
      <c r="BD28" s="29" t="s">
        <v>8</v>
      </c>
      <c r="BE28" s="28" t="s">
        <v>7</v>
      </c>
      <c r="BF28" s="29" t="s">
        <v>8</v>
      </c>
    </row>
    <row r="29" spans="1:58" x14ac:dyDescent="0.25">
      <c r="A29" s="27" t="s">
        <v>12</v>
      </c>
      <c r="B29" s="27" t="s">
        <v>5</v>
      </c>
      <c r="C29">
        <v>88.166700000000006</v>
      </c>
      <c r="D29"/>
      <c r="E29">
        <v>88.5</v>
      </c>
      <c r="F29"/>
      <c r="G29">
        <v>87.833299999999994</v>
      </c>
      <c r="H29"/>
      <c r="I29">
        <v>89.833299999999994</v>
      </c>
      <c r="J29"/>
      <c r="K29">
        <v>89.833299999999994</v>
      </c>
      <c r="L29"/>
      <c r="M29">
        <v>84.666700000000006</v>
      </c>
      <c r="N29"/>
      <c r="O29">
        <v>89</v>
      </c>
      <c r="P29"/>
      <c r="Q29">
        <v>89.833299999999994</v>
      </c>
      <c r="R29"/>
      <c r="S29">
        <v>89.333299999999994</v>
      </c>
      <c r="T29"/>
      <c r="U29">
        <v>90.666700000000006</v>
      </c>
      <c r="V29"/>
      <c r="W29">
        <v>86.166700000000006</v>
      </c>
      <c r="X29"/>
      <c r="Y29">
        <v>90.666700000000006</v>
      </c>
      <c r="Z29"/>
      <c r="AA29">
        <v>89.833299999999994</v>
      </c>
      <c r="AB29"/>
      <c r="AC29">
        <v>89.333299999999994</v>
      </c>
      <c r="AD29"/>
      <c r="AE29">
        <v>92.166700000000006</v>
      </c>
      <c r="AF29"/>
      <c r="AG29">
        <v>91.166700000000006</v>
      </c>
      <c r="AH29"/>
      <c r="AI29">
        <v>88.5</v>
      </c>
      <c r="AJ29"/>
      <c r="AK29">
        <v>89.833299999999994</v>
      </c>
      <c r="AL29"/>
      <c r="AM29">
        <v>88</v>
      </c>
      <c r="AN29"/>
      <c r="AO29">
        <v>87.833299999999994</v>
      </c>
      <c r="AP29"/>
      <c r="AQ29">
        <v>87</v>
      </c>
      <c r="AR29"/>
      <c r="AS29">
        <v>87</v>
      </c>
      <c r="AT29"/>
      <c r="AU29">
        <v>88.666700000000006</v>
      </c>
      <c r="AV29"/>
      <c r="AW29">
        <v>87.666700000000006</v>
      </c>
      <c r="AX29"/>
      <c r="AY29">
        <v>89.833299999999994</v>
      </c>
      <c r="AZ29"/>
      <c r="BA29">
        <v>88.5</v>
      </c>
      <c r="BB29"/>
      <c r="BC29">
        <v>87.166700000000006</v>
      </c>
      <c r="BD29"/>
      <c r="BE29">
        <v>88.666700000000006</v>
      </c>
      <c r="BF29" s="26"/>
    </row>
    <row r="30" spans="1:58" x14ac:dyDescent="0.25">
      <c r="B30" s="26">
        <f>AVERAGE(C29,E29,G29,I29,K29,M29,O29,Q29,S29,U29,W29,Y29,AA29,AC29,AE29,AG29,AI29,AK29,AM29,AO29,AQ29,AS29,AU29,AW29,AY29,BA29,BC29,BE29)</f>
        <v>88.773810714285716</v>
      </c>
      <c r="C30" s="25" t="s">
        <v>1</v>
      </c>
      <c r="D30" s="26" t="s">
        <v>2</v>
      </c>
      <c r="E30" s="25" t="s">
        <v>1</v>
      </c>
      <c r="F30" s="26" t="s">
        <v>3</v>
      </c>
      <c r="G30" s="25" t="s">
        <v>1</v>
      </c>
      <c r="H30" s="26" t="s">
        <v>4</v>
      </c>
      <c r="I30" s="25" t="s">
        <v>1</v>
      </c>
      <c r="J30" s="26" t="s">
        <v>5</v>
      </c>
      <c r="K30" s="25" t="s">
        <v>1</v>
      </c>
      <c r="L30" s="26" t="s">
        <v>6</v>
      </c>
      <c r="M30" s="25" t="s">
        <v>1</v>
      </c>
      <c r="N30" s="26" t="s">
        <v>7</v>
      </c>
      <c r="O30" s="25" t="s">
        <v>1</v>
      </c>
      <c r="P30" s="26" t="s">
        <v>8</v>
      </c>
      <c r="Q30" s="28" t="s">
        <v>9</v>
      </c>
      <c r="R30" s="29" t="s">
        <v>3</v>
      </c>
      <c r="S30" s="28" t="s">
        <v>9</v>
      </c>
      <c r="T30" s="29" t="s">
        <v>10</v>
      </c>
      <c r="U30" s="28" t="s">
        <v>9</v>
      </c>
      <c r="V30" s="29" t="s">
        <v>11</v>
      </c>
      <c r="W30" s="28" t="s">
        <v>9</v>
      </c>
      <c r="X30" s="29" t="s">
        <v>6</v>
      </c>
      <c r="Y30" s="28" t="s">
        <v>9</v>
      </c>
      <c r="Z30" s="29" t="s">
        <v>7</v>
      </c>
      <c r="AA30" s="28" t="s">
        <v>9</v>
      </c>
      <c r="AB30" s="29" t="s">
        <v>8</v>
      </c>
      <c r="AC30" s="28" t="s">
        <v>3</v>
      </c>
      <c r="AD30" s="29" t="s">
        <v>10</v>
      </c>
      <c r="AE30" s="28" t="s">
        <v>3</v>
      </c>
      <c r="AF30" s="29" t="s">
        <v>11</v>
      </c>
      <c r="AG30" s="28" t="s">
        <v>3</v>
      </c>
      <c r="AH30" s="29" t="s">
        <v>6</v>
      </c>
      <c r="AI30" s="28" t="s">
        <v>3</v>
      </c>
      <c r="AJ30" s="29" t="s">
        <v>7</v>
      </c>
      <c r="AK30" s="28" t="s">
        <v>3</v>
      </c>
      <c r="AL30" s="29" t="s">
        <v>8</v>
      </c>
      <c r="AM30" s="28" t="s">
        <v>10</v>
      </c>
      <c r="AN30" s="29" t="s">
        <v>11</v>
      </c>
      <c r="AO30" s="28" t="s">
        <v>10</v>
      </c>
      <c r="AP30" s="29" t="s">
        <v>6</v>
      </c>
      <c r="AQ30" s="28" t="s">
        <v>10</v>
      </c>
      <c r="AR30" s="29" t="s">
        <v>7</v>
      </c>
      <c r="AS30" s="28" t="s">
        <v>10</v>
      </c>
      <c r="AT30" s="29" t="s">
        <v>8</v>
      </c>
      <c r="AU30" s="28" t="s">
        <v>11</v>
      </c>
      <c r="AV30" s="29" t="s">
        <v>6</v>
      </c>
      <c r="AW30" s="28" t="s">
        <v>11</v>
      </c>
      <c r="AX30" s="29" t="s">
        <v>7</v>
      </c>
      <c r="AY30" s="28" t="s">
        <v>11</v>
      </c>
      <c r="AZ30" s="29" t="s">
        <v>8</v>
      </c>
      <c r="BA30" s="28" t="s">
        <v>6</v>
      </c>
      <c r="BB30" s="29" t="s">
        <v>7</v>
      </c>
      <c r="BC30" s="28" t="s">
        <v>6</v>
      </c>
      <c r="BD30" s="29" t="s">
        <v>8</v>
      </c>
      <c r="BE30" s="28" t="s">
        <v>7</v>
      </c>
      <c r="BF30" s="29" t="s">
        <v>8</v>
      </c>
    </row>
    <row r="31" spans="1:58" x14ac:dyDescent="0.25">
      <c r="A31" s="27" t="s">
        <v>12</v>
      </c>
      <c r="B31" s="27" t="s">
        <v>6</v>
      </c>
      <c r="C31">
        <v>96.333299999999994</v>
      </c>
      <c r="D31"/>
      <c r="E31">
        <v>96.666700000000006</v>
      </c>
      <c r="F31"/>
      <c r="G31">
        <v>95.5</v>
      </c>
      <c r="H31"/>
      <c r="I31">
        <v>95.833299999999994</v>
      </c>
      <c r="J31"/>
      <c r="K31">
        <v>95.833299999999994</v>
      </c>
      <c r="L31"/>
      <c r="M31">
        <v>96</v>
      </c>
      <c r="N31"/>
      <c r="O31">
        <v>96.666700000000006</v>
      </c>
      <c r="P31"/>
      <c r="Q31">
        <v>97.333299999999994</v>
      </c>
      <c r="R31"/>
      <c r="S31">
        <v>96.166700000000006</v>
      </c>
      <c r="T31"/>
      <c r="U31">
        <v>97.666700000000006</v>
      </c>
      <c r="V31"/>
      <c r="W31">
        <v>97.833299999999994</v>
      </c>
      <c r="X31"/>
      <c r="Y31">
        <v>96.333299999999994</v>
      </c>
      <c r="Z31"/>
      <c r="AA31">
        <v>95.5</v>
      </c>
      <c r="AB31"/>
      <c r="AC31">
        <v>97.333299999999994</v>
      </c>
      <c r="AD31"/>
      <c r="AE31">
        <v>96.333299999999994</v>
      </c>
      <c r="AF31"/>
      <c r="AG31">
        <v>96</v>
      </c>
      <c r="AH31"/>
      <c r="AI31">
        <v>97.5</v>
      </c>
      <c r="AJ31"/>
      <c r="AK31">
        <v>95.166700000000006</v>
      </c>
      <c r="AL31"/>
      <c r="AM31">
        <v>95.5</v>
      </c>
      <c r="AN31"/>
      <c r="AO31">
        <v>97.333299999999994</v>
      </c>
      <c r="AP31"/>
      <c r="AQ31">
        <v>95.833299999999994</v>
      </c>
      <c r="AR31"/>
      <c r="AS31">
        <v>97.166700000000006</v>
      </c>
      <c r="AT31"/>
      <c r="AU31">
        <v>96</v>
      </c>
      <c r="AV31"/>
      <c r="AW31">
        <v>97.5</v>
      </c>
      <c r="AX31"/>
      <c r="AY31">
        <v>97.666700000000006</v>
      </c>
      <c r="AZ31"/>
      <c r="BA31">
        <v>98</v>
      </c>
      <c r="BB31"/>
      <c r="BC31">
        <v>97.166700000000006</v>
      </c>
      <c r="BD31"/>
      <c r="BE31">
        <v>96.166700000000006</v>
      </c>
      <c r="BF31" s="26"/>
    </row>
    <row r="32" spans="1:58" x14ac:dyDescent="0.25">
      <c r="B32" s="26">
        <f>AVERAGE(C31,E31,G31,I31,K31,M31,O31,Q31,S31,U31,W31,Y31,AA31,AC31,AE31,AG31,AI31,AK31,AM31,AO31,AQ31,AS31,AU31,AW31,AY31,BA31,BC31,BE31)</f>
        <v>96.583332142857174</v>
      </c>
      <c r="C32" s="25" t="s">
        <v>1</v>
      </c>
      <c r="D32" s="26" t="s">
        <v>2</v>
      </c>
      <c r="E32" s="25" t="s">
        <v>1</v>
      </c>
      <c r="F32" s="26" t="s">
        <v>3</v>
      </c>
      <c r="G32" s="25" t="s">
        <v>1</v>
      </c>
      <c r="H32" s="26" t="s">
        <v>4</v>
      </c>
      <c r="I32" s="25" t="s">
        <v>1</v>
      </c>
      <c r="J32" s="26" t="s">
        <v>5</v>
      </c>
      <c r="K32" s="25" t="s">
        <v>1</v>
      </c>
      <c r="L32" s="26" t="s">
        <v>6</v>
      </c>
      <c r="M32" s="25" t="s">
        <v>1</v>
      </c>
      <c r="N32" s="26" t="s">
        <v>7</v>
      </c>
      <c r="O32" s="25" t="s">
        <v>1</v>
      </c>
      <c r="P32" s="26" t="s">
        <v>8</v>
      </c>
      <c r="Q32" s="28" t="s">
        <v>9</v>
      </c>
      <c r="R32" s="29" t="s">
        <v>3</v>
      </c>
      <c r="S32" s="28" t="s">
        <v>9</v>
      </c>
      <c r="T32" s="29" t="s">
        <v>10</v>
      </c>
      <c r="U32" s="28" t="s">
        <v>9</v>
      </c>
      <c r="V32" s="29" t="s">
        <v>11</v>
      </c>
      <c r="W32" s="28" t="s">
        <v>9</v>
      </c>
      <c r="X32" s="29" t="s">
        <v>6</v>
      </c>
      <c r="Y32" s="28" t="s">
        <v>9</v>
      </c>
      <c r="Z32" s="29" t="s">
        <v>7</v>
      </c>
      <c r="AA32" s="28" t="s">
        <v>9</v>
      </c>
      <c r="AB32" s="29" t="s">
        <v>8</v>
      </c>
      <c r="AC32" s="28" t="s">
        <v>3</v>
      </c>
      <c r="AD32" s="29" t="s">
        <v>10</v>
      </c>
      <c r="AE32" s="28" t="s">
        <v>3</v>
      </c>
      <c r="AF32" s="29" t="s">
        <v>11</v>
      </c>
      <c r="AG32" s="28" t="s">
        <v>3</v>
      </c>
      <c r="AH32" s="29" t="s">
        <v>6</v>
      </c>
      <c r="AI32" s="28" t="s">
        <v>3</v>
      </c>
      <c r="AJ32" s="29" t="s">
        <v>7</v>
      </c>
      <c r="AK32" s="28" t="s">
        <v>3</v>
      </c>
      <c r="AL32" s="29" t="s">
        <v>8</v>
      </c>
      <c r="AM32" s="28" t="s">
        <v>10</v>
      </c>
      <c r="AN32" s="29" t="s">
        <v>11</v>
      </c>
      <c r="AO32" s="28" t="s">
        <v>10</v>
      </c>
      <c r="AP32" s="29" t="s">
        <v>6</v>
      </c>
      <c r="AQ32" s="28" t="s">
        <v>10</v>
      </c>
      <c r="AR32" s="29" t="s">
        <v>7</v>
      </c>
      <c r="AS32" s="28" t="s">
        <v>10</v>
      </c>
      <c r="AT32" s="29" t="s">
        <v>8</v>
      </c>
      <c r="AU32" s="28" t="s">
        <v>11</v>
      </c>
      <c r="AV32" s="29" t="s">
        <v>6</v>
      </c>
      <c r="AW32" s="28" t="s">
        <v>11</v>
      </c>
      <c r="AX32" s="29" t="s">
        <v>7</v>
      </c>
      <c r="AY32" s="28" t="s">
        <v>11</v>
      </c>
      <c r="AZ32" s="29" t="s">
        <v>8</v>
      </c>
      <c r="BA32" s="28" t="s">
        <v>6</v>
      </c>
      <c r="BB32" s="29" t="s">
        <v>7</v>
      </c>
      <c r="BC32" s="28" t="s">
        <v>6</v>
      </c>
      <c r="BD32" s="29" t="s">
        <v>8</v>
      </c>
      <c r="BE32" s="28" t="s">
        <v>7</v>
      </c>
      <c r="BF32" s="29" t="s">
        <v>8</v>
      </c>
    </row>
    <row r="33" spans="1:58" x14ac:dyDescent="0.25">
      <c r="A33" s="27" t="s">
        <v>12</v>
      </c>
      <c r="B33" s="27" t="s">
        <v>7</v>
      </c>
      <c r="C33">
        <v>88.833299999999994</v>
      </c>
      <c r="D33"/>
      <c r="E33">
        <v>89.166700000000006</v>
      </c>
      <c r="F33"/>
      <c r="G33">
        <v>88.666700000000006</v>
      </c>
      <c r="H33"/>
      <c r="I33">
        <v>88</v>
      </c>
      <c r="J33"/>
      <c r="K33">
        <v>89.666700000000006</v>
      </c>
      <c r="L33"/>
      <c r="M33">
        <v>91.333299999999994</v>
      </c>
      <c r="N33"/>
      <c r="O33">
        <v>90.166700000000006</v>
      </c>
      <c r="P33"/>
      <c r="Q33">
        <v>86.666700000000006</v>
      </c>
      <c r="R33"/>
      <c r="S33">
        <v>89.333299999999994</v>
      </c>
      <c r="T33"/>
      <c r="U33">
        <v>89.5</v>
      </c>
      <c r="V33"/>
      <c r="W33">
        <v>88</v>
      </c>
      <c r="X33"/>
      <c r="Y33">
        <v>92.333299999999994</v>
      </c>
      <c r="Z33"/>
      <c r="AA33">
        <v>92.666700000000006</v>
      </c>
      <c r="AB33"/>
      <c r="AC33">
        <v>89.166700000000006</v>
      </c>
      <c r="AD33"/>
      <c r="AE33">
        <v>88.333299999999994</v>
      </c>
      <c r="AF33"/>
      <c r="AG33">
        <v>91.666700000000006</v>
      </c>
      <c r="AH33"/>
      <c r="AI33">
        <v>88.833299999999994</v>
      </c>
      <c r="AJ33"/>
      <c r="AK33">
        <v>90.5</v>
      </c>
      <c r="AL33"/>
      <c r="AM33">
        <v>88.166700000000006</v>
      </c>
      <c r="AN33"/>
      <c r="AO33">
        <v>91.333299999999994</v>
      </c>
      <c r="AP33"/>
      <c r="AQ33">
        <v>92.166700000000006</v>
      </c>
      <c r="AR33"/>
      <c r="AS33">
        <v>92.666700000000006</v>
      </c>
      <c r="AT33"/>
      <c r="AU33">
        <v>89.666700000000006</v>
      </c>
      <c r="AV33"/>
      <c r="AW33">
        <v>91.166700000000006</v>
      </c>
      <c r="AX33"/>
      <c r="AY33">
        <v>90.333299999999994</v>
      </c>
      <c r="AZ33"/>
      <c r="BA33">
        <v>89.333299999999994</v>
      </c>
      <c r="BB33"/>
      <c r="BC33">
        <v>90.5</v>
      </c>
      <c r="BD33"/>
      <c r="BE33">
        <v>86.333299999999994</v>
      </c>
      <c r="BF33" s="26"/>
    </row>
    <row r="34" spans="1:58" x14ac:dyDescent="0.25">
      <c r="B34" s="26">
        <f>AVERAGE(C33,E33,G33,I33,K33,M33,O33,Q33,S33,U33,W33,Y33,AA33,AC33,AE33,AG33,AI33,AK33,AM33,AO33,AQ33,AS33,AU33,AW33,AY33,BA33,BC33,BE33)</f>
        <v>89.803574999999995</v>
      </c>
      <c r="C34" s="25" t="s">
        <v>1</v>
      </c>
      <c r="D34" s="26" t="s">
        <v>2</v>
      </c>
      <c r="E34" s="25" t="s">
        <v>1</v>
      </c>
      <c r="F34" s="26" t="s">
        <v>3</v>
      </c>
      <c r="G34" s="25" t="s">
        <v>1</v>
      </c>
      <c r="H34" s="26" t="s">
        <v>4</v>
      </c>
      <c r="I34" s="25" t="s">
        <v>1</v>
      </c>
      <c r="J34" s="26" t="s">
        <v>5</v>
      </c>
      <c r="K34" s="25" t="s">
        <v>1</v>
      </c>
      <c r="L34" s="26" t="s">
        <v>6</v>
      </c>
      <c r="M34" s="25" t="s">
        <v>1</v>
      </c>
      <c r="N34" s="26" t="s">
        <v>7</v>
      </c>
      <c r="O34" s="25" t="s">
        <v>1</v>
      </c>
      <c r="P34" s="26" t="s">
        <v>8</v>
      </c>
      <c r="Q34" s="28" t="s">
        <v>9</v>
      </c>
      <c r="R34" s="29" t="s">
        <v>3</v>
      </c>
      <c r="S34" s="28" t="s">
        <v>9</v>
      </c>
      <c r="T34" s="29" t="s">
        <v>10</v>
      </c>
      <c r="U34" s="28" t="s">
        <v>9</v>
      </c>
      <c r="V34" s="29" t="s">
        <v>11</v>
      </c>
      <c r="W34" s="28" t="s">
        <v>9</v>
      </c>
      <c r="X34" s="29" t="s">
        <v>6</v>
      </c>
      <c r="Y34" s="28" t="s">
        <v>9</v>
      </c>
      <c r="Z34" s="29" t="s">
        <v>7</v>
      </c>
      <c r="AA34" s="28" t="s">
        <v>9</v>
      </c>
      <c r="AB34" s="29" t="s">
        <v>8</v>
      </c>
      <c r="AC34" s="28" t="s">
        <v>3</v>
      </c>
      <c r="AD34" s="29" t="s">
        <v>10</v>
      </c>
      <c r="AE34" s="28" t="s">
        <v>3</v>
      </c>
      <c r="AF34" s="29" t="s">
        <v>11</v>
      </c>
      <c r="AG34" s="28" t="s">
        <v>3</v>
      </c>
      <c r="AH34" s="29" t="s">
        <v>6</v>
      </c>
      <c r="AI34" s="28" t="s">
        <v>3</v>
      </c>
      <c r="AJ34" s="29" t="s">
        <v>7</v>
      </c>
      <c r="AK34" s="28" t="s">
        <v>3</v>
      </c>
      <c r="AL34" s="29" t="s">
        <v>8</v>
      </c>
      <c r="AM34" s="28" t="s">
        <v>10</v>
      </c>
      <c r="AN34" s="29" t="s">
        <v>11</v>
      </c>
      <c r="AO34" s="28" t="s">
        <v>10</v>
      </c>
      <c r="AP34" s="29" t="s">
        <v>6</v>
      </c>
      <c r="AQ34" s="28" t="s">
        <v>10</v>
      </c>
      <c r="AR34" s="29" t="s">
        <v>7</v>
      </c>
      <c r="AS34" s="28" t="s">
        <v>10</v>
      </c>
      <c r="AT34" s="29" t="s">
        <v>8</v>
      </c>
      <c r="AU34" s="28" t="s">
        <v>11</v>
      </c>
      <c r="AV34" s="29" t="s">
        <v>6</v>
      </c>
      <c r="AW34" s="28" t="s">
        <v>11</v>
      </c>
      <c r="AX34" s="29" t="s">
        <v>7</v>
      </c>
      <c r="AY34" s="28" t="s">
        <v>11</v>
      </c>
      <c r="AZ34" s="29" t="s">
        <v>8</v>
      </c>
      <c r="BA34" s="28" t="s">
        <v>6</v>
      </c>
      <c r="BB34" s="29" t="s">
        <v>7</v>
      </c>
      <c r="BC34" s="28" t="s">
        <v>6</v>
      </c>
      <c r="BD34" s="29" t="s">
        <v>8</v>
      </c>
      <c r="BE34" s="28" t="s">
        <v>7</v>
      </c>
      <c r="BF34" s="29" t="s">
        <v>8</v>
      </c>
    </row>
    <row r="35" spans="1:58" x14ac:dyDescent="0.25">
      <c r="A35" s="27" t="s">
        <v>12</v>
      </c>
      <c r="B35" s="27" t="s">
        <v>8</v>
      </c>
      <c r="C35">
        <v>93</v>
      </c>
      <c r="D35"/>
      <c r="E35">
        <v>91.833299999999994</v>
      </c>
      <c r="F35"/>
      <c r="G35">
        <v>93.666700000000006</v>
      </c>
      <c r="H35"/>
      <c r="I35">
        <v>91.5</v>
      </c>
      <c r="J35"/>
      <c r="K35">
        <v>91.166700000000006</v>
      </c>
      <c r="L35"/>
      <c r="M35">
        <v>93.166700000000006</v>
      </c>
      <c r="N35"/>
      <c r="O35">
        <v>93.166700000000006</v>
      </c>
      <c r="P35"/>
      <c r="Q35">
        <v>93.333299999999994</v>
      </c>
      <c r="R35"/>
      <c r="S35">
        <v>92.166700000000006</v>
      </c>
      <c r="T35"/>
      <c r="U35">
        <v>91.5</v>
      </c>
      <c r="V35"/>
      <c r="W35">
        <v>93.333299999999994</v>
      </c>
      <c r="X35"/>
      <c r="Y35">
        <v>91.666700000000006</v>
      </c>
      <c r="Z35"/>
      <c r="AA35">
        <v>91.333299999999994</v>
      </c>
      <c r="AB35"/>
      <c r="AC35">
        <v>91</v>
      </c>
      <c r="AD35"/>
      <c r="AE35">
        <v>91.5</v>
      </c>
      <c r="AF35"/>
      <c r="AG35">
        <v>93.833299999999994</v>
      </c>
      <c r="AH35"/>
      <c r="AI35">
        <v>91</v>
      </c>
      <c r="AJ35"/>
      <c r="AK35">
        <v>93.5</v>
      </c>
      <c r="AL35"/>
      <c r="AM35">
        <v>93.166700000000006</v>
      </c>
      <c r="AN35"/>
      <c r="AO35">
        <v>91.833299999999994</v>
      </c>
      <c r="AP35"/>
      <c r="AQ35">
        <v>91.166700000000006</v>
      </c>
      <c r="AR35"/>
      <c r="AS35">
        <v>93</v>
      </c>
      <c r="AT35"/>
      <c r="AU35">
        <v>90.666700000000006</v>
      </c>
      <c r="AV35"/>
      <c r="AW35">
        <v>94</v>
      </c>
      <c r="AX35"/>
      <c r="AY35">
        <v>91</v>
      </c>
      <c r="AZ35"/>
      <c r="BA35">
        <v>93.666700000000006</v>
      </c>
      <c r="BB35"/>
      <c r="BC35">
        <v>91</v>
      </c>
      <c r="BD35"/>
      <c r="BE35">
        <v>91.166700000000006</v>
      </c>
      <c r="BF35" s="26"/>
    </row>
    <row r="36" spans="1:58" x14ac:dyDescent="0.25">
      <c r="B36" s="26">
        <f>AVERAGE(C35,E35,G35,I35,K35,M35,O35,Q35,S35,U35,W35,Y35,AA35,AC35,AE35,AG35,AI35,AK35,AM35,AO35,AQ35,AS35,AU35,AW35,AY35,BA35,BC35,BE35)</f>
        <v>92.226196428571455</v>
      </c>
    </row>
    <row r="37" spans="1:58" x14ac:dyDescent="0.25">
      <c r="A37" s="110" t="s">
        <v>14</v>
      </c>
      <c r="B37" s="110"/>
      <c r="C37" s="25">
        <v>1</v>
      </c>
      <c r="D37" s="26"/>
      <c r="E37" s="25">
        <v>2</v>
      </c>
      <c r="F37" s="26"/>
      <c r="G37" s="25">
        <v>3</v>
      </c>
      <c r="H37" s="26"/>
      <c r="I37" s="25">
        <v>4</v>
      </c>
      <c r="J37" s="26"/>
      <c r="K37" s="25">
        <v>5</v>
      </c>
      <c r="L37" s="26"/>
      <c r="M37" s="25">
        <v>6</v>
      </c>
      <c r="N37" s="26"/>
      <c r="O37" s="25">
        <v>7</v>
      </c>
      <c r="P37" s="26"/>
      <c r="Q37" s="25">
        <v>1</v>
      </c>
      <c r="R37" s="26"/>
      <c r="S37" s="25">
        <v>2</v>
      </c>
      <c r="T37" s="26"/>
      <c r="U37" s="25">
        <v>3</v>
      </c>
      <c r="V37" s="26"/>
      <c r="W37" s="25">
        <v>4</v>
      </c>
      <c r="X37" s="26"/>
      <c r="Y37" s="25">
        <v>5</v>
      </c>
      <c r="Z37" s="26"/>
      <c r="AA37" s="25">
        <v>6</v>
      </c>
      <c r="AB37" s="26"/>
      <c r="AC37" s="25">
        <v>1</v>
      </c>
      <c r="AD37" s="26"/>
      <c r="AE37" s="25">
        <v>2</v>
      </c>
      <c r="AF37" s="26"/>
      <c r="AG37" s="25">
        <v>3</v>
      </c>
      <c r="AH37" s="26"/>
      <c r="AI37" s="25">
        <v>4</v>
      </c>
      <c r="AJ37" s="26"/>
      <c r="AK37" s="25">
        <v>5</v>
      </c>
      <c r="AL37" s="26"/>
      <c r="AM37" s="25">
        <v>1</v>
      </c>
      <c r="AN37" s="26"/>
      <c r="AO37" s="25">
        <v>2</v>
      </c>
      <c r="AP37" s="26"/>
      <c r="AQ37" s="25">
        <v>3</v>
      </c>
      <c r="AR37" s="26"/>
      <c r="AS37" s="25">
        <v>4</v>
      </c>
      <c r="AT37" s="26"/>
      <c r="AU37" s="25">
        <v>1</v>
      </c>
      <c r="AV37" s="26"/>
      <c r="AW37" s="25">
        <v>2</v>
      </c>
      <c r="AX37" s="26"/>
      <c r="AY37" s="25">
        <v>3</v>
      </c>
      <c r="AZ37" s="26"/>
      <c r="BA37" s="25">
        <v>1</v>
      </c>
      <c r="BB37" s="26"/>
      <c r="BC37" s="25">
        <v>2</v>
      </c>
      <c r="BD37" s="26"/>
      <c r="BE37" s="25">
        <v>1</v>
      </c>
      <c r="BF37" s="26"/>
    </row>
    <row r="38" spans="1:58" x14ac:dyDescent="0.25">
      <c r="A38" s="110"/>
      <c r="B38" s="110"/>
      <c r="C38" s="25" t="s">
        <v>1</v>
      </c>
      <c r="D38" s="26" t="s">
        <v>2</v>
      </c>
      <c r="E38" s="25" t="s">
        <v>1</v>
      </c>
      <c r="F38" s="26" t="s">
        <v>3</v>
      </c>
      <c r="G38" s="25" t="s">
        <v>1</v>
      </c>
      <c r="H38" s="26" t="s">
        <v>4</v>
      </c>
      <c r="I38" s="25" t="s">
        <v>1</v>
      </c>
      <c r="J38" s="26" t="s">
        <v>5</v>
      </c>
      <c r="K38" s="25" t="s">
        <v>1</v>
      </c>
      <c r="L38" s="26" t="s">
        <v>6</v>
      </c>
      <c r="M38" s="25" t="s">
        <v>1</v>
      </c>
      <c r="N38" s="26" t="s">
        <v>7</v>
      </c>
      <c r="O38" s="25" t="s">
        <v>1</v>
      </c>
      <c r="P38" s="26" t="s">
        <v>8</v>
      </c>
      <c r="Q38" s="28" t="s">
        <v>9</v>
      </c>
      <c r="R38" s="29" t="s">
        <v>3</v>
      </c>
      <c r="S38" s="28" t="s">
        <v>9</v>
      </c>
      <c r="T38" s="29" t="s">
        <v>10</v>
      </c>
      <c r="U38" s="28" t="s">
        <v>9</v>
      </c>
      <c r="V38" s="29" t="s">
        <v>11</v>
      </c>
      <c r="W38" s="28" t="s">
        <v>9</v>
      </c>
      <c r="X38" s="29" t="s">
        <v>6</v>
      </c>
      <c r="Y38" s="28" t="s">
        <v>9</v>
      </c>
      <c r="Z38" s="29" t="s">
        <v>7</v>
      </c>
      <c r="AA38" s="28" t="s">
        <v>9</v>
      </c>
      <c r="AB38" s="29" t="s">
        <v>8</v>
      </c>
      <c r="AC38" s="28" t="s">
        <v>3</v>
      </c>
      <c r="AD38" s="29" t="s">
        <v>10</v>
      </c>
      <c r="AE38" s="28" t="s">
        <v>3</v>
      </c>
      <c r="AF38" s="29" t="s">
        <v>11</v>
      </c>
      <c r="AG38" s="28" t="s">
        <v>3</v>
      </c>
      <c r="AH38" s="29" t="s">
        <v>6</v>
      </c>
      <c r="AI38" s="28" t="s">
        <v>3</v>
      </c>
      <c r="AJ38" s="29" t="s">
        <v>7</v>
      </c>
      <c r="AK38" s="28" t="s">
        <v>3</v>
      </c>
      <c r="AL38" s="29" t="s">
        <v>8</v>
      </c>
      <c r="AM38" s="28" t="s">
        <v>10</v>
      </c>
      <c r="AN38" s="29" t="s">
        <v>11</v>
      </c>
      <c r="AO38" s="28" t="s">
        <v>10</v>
      </c>
      <c r="AP38" s="29" t="s">
        <v>6</v>
      </c>
      <c r="AQ38" s="28" t="s">
        <v>10</v>
      </c>
      <c r="AR38" s="29" t="s">
        <v>7</v>
      </c>
      <c r="AS38" s="28" t="s">
        <v>10</v>
      </c>
      <c r="AT38" s="29" t="s">
        <v>8</v>
      </c>
      <c r="AU38" s="28" t="s">
        <v>11</v>
      </c>
      <c r="AV38" s="29" t="s">
        <v>6</v>
      </c>
      <c r="AW38" s="28" t="s">
        <v>11</v>
      </c>
      <c r="AX38" s="29" t="s">
        <v>7</v>
      </c>
      <c r="AY38" s="28" t="s">
        <v>11</v>
      </c>
      <c r="AZ38" s="29" t="s">
        <v>8</v>
      </c>
      <c r="BA38" s="28" t="s">
        <v>6</v>
      </c>
      <c r="BB38" s="29" t="s">
        <v>7</v>
      </c>
      <c r="BC38" s="28" t="s">
        <v>6</v>
      </c>
      <c r="BD38" s="29" t="s">
        <v>8</v>
      </c>
      <c r="BE38" s="28" t="s">
        <v>7</v>
      </c>
      <c r="BF38" s="29" t="s">
        <v>8</v>
      </c>
    </row>
    <row r="39" spans="1:58" x14ac:dyDescent="0.25">
      <c r="A39" s="27" t="s">
        <v>12</v>
      </c>
      <c r="B39" s="27" t="s">
        <v>1</v>
      </c>
      <c r="C39">
        <v>86</v>
      </c>
      <c r="D39"/>
      <c r="E39">
        <v>84.666700000000006</v>
      </c>
      <c r="F39"/>
      <c r="G39">
        <v>90.833299999999994</v>
      </c>
      <c r="H39"/>
      <c r="I39">
        <v>91</v>
      </c>
      <c r="J39"/>
      <c r="K39">
        <v>84.666700000000006</v>
      </c>
      <c r="L39"/>
      <c r="M39">
        <v>90.166700000000006</v>
      </c>
      <c r="N39"/>
      <c r="O39">
        <v>88.5</v>
      </c>
      <c r="P39"/>
      <c r="Q39">
        <v>79.5</v>
      </c>
      <c r="R39"/>
      <c r="S39">
        <v>87.666700000000006</v>
      </c>
      <c r="T39"/>
      <c r="U39">
        <v>89.333299999999994</v>
      </c>
      <c r="V39"/>
      <c r="W39">
        <v>88.333299999999994</v>
      </c>
      <c r="X39"/>
      <c r="Y39">
        <v>86.833299999999994</v>
      </c>
      <c r="Z39"/>
      <c r="AA39">
        <v>89</v>
      </c>
      <c r="AB39"/>
      <c r="AC39">
        <v>81.166700000000006</v>
      </c>
      <c r="AD39"/>
      <c r="AE39">
        <v>91.5</v>
      </c>
      <c r="AF39"/>
      <c r="AG39">
        <v>85.166700000000006</v>
      </c>
      <c r="AH39"/>
      <c r="AI39">
        <v>88.333299999999994</v>
      </c>
      <c r="AJ39"/>
      <c r="AK39">
        <v>86.166700000000006</v>
      </c>
      <c r="AL39"/>
      <c r="AM39">
        <v>87.833299999999994</v>
      </c>
      <c r="AN39"/>
      <c r="AO39">
        <v>88.833299999999994</v>
      </c>
      <c r="AP39"/>
      <c r="AQ39">
        <v>85.333299999999994</v>
      </c>
      <c r="AR39"/>
      <c r="AS39">
        <v>86.5</v>
      </c>
      <c r="AT39"/>
      <c r="AU39">
        <v>85.5</v>
      </c>
      <c r="AV39"/>
      <c r="AW39">
        <v>87.333299999999994</v>
      </c>
      <c r="AX39"/>
      <c r="AY39">
        <v>86.833299999999994</v>
      </c>
      <c r="AZ39"/>
      <c r="BA39">
        <v>85.666700000000006</v>
      </c>
      <c r="BB39"/>
      <c r="BC39">
        <v>82.833299999999994</v>
      </c>
      <c r="BD39"/>
      <c r="BE39">
        <v>84.5</v>
      </c>
      <c r="BF39" s="26"/>
    </row>
    <row r="40" spans="1:58" x14ac:dyDescent="0.25">
      <c r="B40" s="26">
        <f>AVERAGE(C39,E39,G39,I39,K39,M39,O39,Q39,S39,U39,W39,Y39,AA39,AC39,AE39,AG39,AI39,AK39,AM39,AO39,AQ39,AS39,AU39,AW39,AY39,BA39,BC39,BE39)</f>
        <v>86.785710714285713</v>
      </c>
      <c r="C40" s="25" t="s">
        <v>1</v>
      </c>
      <c r="D40" s="26" t="s">
        <v>2</v>
      </c>
      <c r="E40" s="25" t="s">
        <v>1</v>
      </c>
      <c r="F40" s="26" t="s">
        <v>3</v>
      </c>
      <c r="G40" s="25" t="s">
        <v>1</v>
      </c>
      <c r="H40" s="26" t="s">
        <v>4</v>
      </c>
      <c r="I40" s="25" t="s">
        <v>1</v>
      </c>
      <c r="J40" s="26" t="s">
        <v>5</v>
      </c>
      <c r="K40" s="25" t="s">
        <v>1</v>
      </c>
      <c r="L40" s="26" t="s">
        <v>6</v>
      </c>
      <c r="M40" s="25" t="s">
        <v>1</v>
      </c>
      <c r="N40" s="26" t="s">
        <v>7</v>
      </c>
      <c r="O40" s="25" t="s">
        <v>1</v>
      </c>
      <c r="P40" s="26" t="s">
        <v>8</v>
      </c>
      <c r="Q40" s="28" t="s">
        <v>9</v>
      </c>
      <c r="R40" s="29" t="s">
        <v>3</v>
      </c>
      <c r="S40" s="28" t="s">
        <v>9</v>
      </c>
      <c r="T40" s="29" t="s">
        <v>10</v>
      </c>
      <c r="U40" s="28" t="s">
        <v>9</v>
      </c>
      <c r="V40" s="29" t="s">
        <v>11</v>
      </c>
      <c r="W40" s="28" t="s">
        <v>9</v>
      </c>
      <c r="X40" s="29" t="s">
        <v>6</v>
      </c>
      <c r="Y40" s="28" t="s">
        <v>9</v>
      </c>
      <c r="Z40" s="29" t="s">
        <v>7</v>
      </c>
      <c r="AA40" s="28" t="s">
        <v>9</v>
      </c>
      <c r="AB40" s="29" t="s">
        <v>8</v>
      </c>
      <c r="AC40" s="28" t="s">
        <v>3</v>
      </c>
      <c r="AD40" s="29" t="s">
        <v>10</v>
      </c>
      <c r="AE40" s="28" t="s">
        <v>3</v>
      </c>
      <c r="AF40" s="29" t="s">
        <v>11</v>
      </c>
      <c r="AG40" s="28" t="s">
        <v>3</v>
      </c>
      <c r="AH40" s="29" t="s">
        <v>6</v>
      </c>
      <c r="AI40" s="28" t="s">
        <v>3</v>
      </c>
      <c r="AJ40" s="29" t="s">
        <v>7</v>
      </c>
      <c r="AK40" s="28" t="s">
        <v>3</v>
      </c>
      <c r="AL40" s="29" t="s">
        <v>8</v>
      </c>
      <c r="AM40" s="28" t="s">
        <v>10</v>
      </c>
      <c r="AN40" s="29" t="s">
        <v>11</v>
      </c>
      <c r="AO40" s="28" t="s">
        <v>10</v>
      </c>
      <c r="AP40" s="29" t="s">
        <v>6</v>
      </c>
      <c r="AQ40" s="28" t="s">
        <v>10</v>
      </c>
      <c r="AR40" s="29" t="s">
        <v>7</v>
      </c>
      <c r="AS40" s="28" t="s">
        <v>10</v>
      </c>
      <c r="AT40" s="29" t="s">
        <v>8</v>
      </c>
      <c r="AU40" s="28" t="s">
        <v>11</v>
      </c>
      <c r="AV40" s="29" t="s">
        <v>6</v>
      </c>
      <c r="AW40" s="28" t="s">
        <v>11</v>
      </c>
      <c r="AX40" s="29" t="s">
        <v>7</v>
      </c>
      <c r="AY40" s="28" t="s">
        <v>11</v>
      </c>
      <c r="AZ40" s="29" t="s">
        <v>8</v>
      </c>
      <c r="BA40" s="28" t="s">
        <v>6</v>
      </c>
      <c r="BB40" s="29" t="s">
        <v>7</v>
      </c>
      <c r="BC40" s="28" t="s">
        <v>6</v>
      </c>
      <c r="BD40" s="29" t="s">
        <v>8</v>
      </c>
      <c r="BE40" s="28" t="s">
        <v>7</v>
      </c>
      <c r="BF40" s="29" t="s">
        <v>8</v>
      </c>
    </row>
    <row r="41" spans="1:58" x14ac:dyDescent="0.25">
      <c r="A41" s="27" t="s">
        <v>12</v>
      </c>
      <c r="B41" s="27" t="s">
        <v>2</v>
      </c>
      <c r="C41">
        <v>83.833299999999994</v>
      </c>
      <c r="D41"/>
      <c r="E41">
        <v>84.333299999999994</v>
      </c>
      <c r="F41"/>
      <c r="G41">
        <v>86</v>
      </c>
      <c r="H41"/>
      <c r="I41">
        <v>84.166700000000006</v>
      </c>
      <c r="J41"/>
      <c r="K41">
        <v>84.166700000000006</v>
      </c>
      <c r="L41"/>
      <c r="M41">
        <v>85.666700000000006</v>
      </c>
      <c r="N41"/>
      <c r="O41">
        <v>84.333299999999994</v>
      </c>
      <c r="P41"/>
      <c r="Q41">
        <v>85.333299999999994</v>
      </c>
      <c r="R41"/>
      <c r="S41">
        <v>83.833299999999994</v>
      </c>
      <c r="T41"/>
      <c r="U41">
        <v>83.833299999999994</v>
      </c>
      <c r="V41"/>
      <c r="W41">
        <v>84.166700000000006</v>
      </c>
      <c r="X41"/>
      <c r="Y41">
        <v>84</v>
      </c>
      <c r="Z41"/>
      <c r="AA41">
        <v>83.833299999999994</v>
      </c>
      <c r="AB41"/>
      <c r="AC41">
        <v>84</v>
      </c>
      <c r="AD41"/>
      <c r="AE41">
        <v>84</v>
      </c>
      <c r="AF41"/>
      <c r="AG41">
        <v>82.5</v>
      </c>
      <c r="AH41"/>
      <c r="AI41">
        <v>84.666700000000006</v>
      </c>
      <c r="AJ41"/>
      <c r="AK41">
        <v>84</v>
      </c>
      <c r="AL41"/>
      <c r="AM41">
        <v>82.166700000000006</v>
      </c>
      <c r="AN41"/>
      <c r="AO41">
        <v>84</v>
      </c>
      <c r="AP41"/>
      <c r="AQ41">
        <v>84.333299999999994</v>
      </c>
      <c r="AR41"/>
      <c r="AS41">
        <v>84</v>
      </c>
      <c r="AT41"/>
      <c r="AU41">
        <v>84.666700000000006</v>
      </c>
      <c r="AV41"/>
      <c r="AW41">
        <v>83.666700000000006</v>
      </c>
      <c r="AX41"/>
      <c r="AY41">
        <v>84.166700000000006</v>
      </c>
      <c r="AZ41"/>
      <c r="BA41">
        <v>84</v>
      </c>
      <c r="BB41"/>
      <c r="BC41">
        <v>83.5</v>
      </c>
      <c r="BD41"/>
      <c r="BE41">
        <v>84.166700000000006</v>
      </c>
      <c r="BF41" s="26"/>
    </row>
    <row r="42" spans="1:58" x14ac:dyDescent="0.25">
      <c r="B42" s="26">
        <f>AVERAGE(C41,E41,G41,I41,K41,M41,O41,Q41,S41,U41,W41,Y41,AA41,AC41,AE41,AG41,AI41,AK41,AM41,AO41,AQ41,AS41,AU41,AW41,AY41,BA41,BC41,BE41)</f>
        <v>84.119050000000016</v>
      </c>
      <c r="C42" s="25" t="s">
        <v>1</v>
      </c>
      <c r="D42" s="26" t="s">
        <v>2</v>
      </c>
      <c r="E42" s="25" t="s">
        <v>1</v>
      </c>
      <c r="F42" s="26" t="s">
        <v>3</v>
      </c>
      <c r="G42" s="25" t="s">
        <v>1</v>
      </c>
      <c r="H42" s="26" t="s">
        <v>4</v>
      </c>
      <c r="I42" s="25" t="s">
        <v>1</v>
      </c>
      <c r="J42" s="26" t="s">
        <v>5</v>
      </c>
      <c r="K42" s="25" t="s">
        <v>1</v>
      </c>
      <c r="L42" s="26" t="s">
        <v>6</v>
      </c>
      <c r="M42" s="25" t="s">
        <v>1</v>
      </c>
      <c r="N42" s="26" t="s">
        <v>7</v>
      </c>
      <c r="O42" s="25" t="s">
        <v>1</v>
      </c>
      <c r="P42" s="26" t="s">
        <v>8</v>
      </c>
      <c r="Q42" s="28" t="s">
        <v>9</v>
      </c>
      <c r="R42" s="29" t="s">
        <v>3</v>
      </c>
      <c r="S42" s="28" t="s">
        <v>9</v>
      </c>
      <c r="T42" s="29" t="s">
        <v>10</v>
      </c>
      <c r="U42" s="28" t="s">
        <v>9</v>
      </c>
      <c r="V42" s="29" t="s">
        <v>11</v>
      </c>
      <c r="W42" s="28" t="s">
        <v>9</v>
      </c>
      <c r="X42" s="29" t="s">
        <v>6</v>
      </c>
      <c r="Y42" s="28" t="s">
        <v>9</v>
      </c>
      <c r="Z42" s="29" t="s">
        <v>7</v>
      </c>
      <c r="AA42" s="28" t="s">
        <v>9</v>
      </c>
      <c r="AB42" s="29" t="s">
        <v>8</v>
      </c>
      <c r="AC42" s="28" t="s">
        <v>3</v>
      </c>
      <c r="AD42" s="29" t="s">
        <v>10</v>
      </c>
      <c r="AE42" s="28" t="s">
        <v>3</v>
      </c>
      <c r="AF42" s="29" t="s">
        <v>11</v>
      </c>
      <c r="AG42" s="28" t="s">
        <v>3</v>
      </c>
      <c r="AH42" s="29" t="s">
        <v>6</v>
      </c>
      <c r="AI42" s="28" t="s">
        <v>3</v>
      </c>
      <c r="AJ42" s="29" t="s">
        <v>7</v>
      </c>
      <c r="AK42" s="28" t="s">
        <v>3</v>
      </c>
      <c r="AL42" s="29" t="s">
        <v>8</v>
      </c>
      <c r="AM42" s="28" t="s">
        <v>10</v>
      </c>
      <c r="AN42" s="29" t="s">
        <v>11</v>
      </c>
      <c r="AO42" s="28" t="s">
        <v>10</v>
      </c>
      <c r="AP42" s="29" t="s">
        <v>6</v>
      </c>
      <c r="AQ42" s="28" t="s">
        <v>10</v>
      </c>
      <c r="AR42" s="29" t="s">
        <v>7</v>
      </c>
      <c r="AS42" s="28" t="s">
        <v>10</v>
      </c>
      <c r="AT42" s="29" t="s">
        <v>8</v>
      </c>
      <c r="AU42" s="28" t="s">
        <v>11</v>
      </c>
      <c r="AV42" s="29" t="s">
        <v>6</v>
      </c>
      <c r="AW42" s="28" t="s">
        <v>11</v>
      </c>
      <c r="AX42" s="29" t="s">
        <v>7</v>
      </c>
      <c r="AY42" s="28" t="s">
        <v>11</v>
      </c>
      <c r="AZ42" s="29" t="s">
        <v>8</v>
      </c>
      <c r="BA42" s="28" t="s">
        <v>6</v>
      </c>
      <c r="BB42" s="29" t="s">
        <v>7</v>
      </c>
      <c r="BC42" s="28" t="s">
        <v>6</v>
      </c>
      <c r="BD42" s="29" t="s">
        <v>8</v>
      </c>
      <c r="BE42" s="28" t="s">
        <v>7</v>
      </c>
      <c r="BF42" s="29" t="s">
        <v>8</v>
      </c>
    </row>
    <row r="43" spans="1:58" x14ac:dyDescent="0.25">
      <c r="A43" s="27" t="s">
        <v>12</v>
      </c>
      <c r="B43" s="27" t="s">
        <v>3</v>
      </c>
      <c r="C43">
        <v>100</v>
      </c>
      <c r="D43"/>
      <c r="E43">
        <v>100</v>
      </c>
      <c r="F43"/>
      <c r="G43">
        <v>100</v>
      </c>
      <c r="H43"/>
      <c r="I43">
        <v>100</v>
      </c>
      <c r="J43"/>
      <c r="K43">
        <v>100</v>
      </c>
      <c r="L43"/>
      <c r="M43">
        <v>100</v>
      </c>
      <c r="N43"/>
      <c r="O43">
        <v>100</v>
      </c>
      <c r="P43"/>
      <c r="Q43">
        <v>100</v>
      </c>
      <c r="R43"/>
      <c r="S43">
        <v>100</v>
      </c>
      <c r="T43"/>
      <c r="U43">
        <v>100</v>
      </c>
      <c r="V43"/>
      <c r="W43">
        <v>100</v>
      </c>
      <c r="X43"/>
      <c r="Y43">
        <v>100</v>
      </c>
      <c r="Z43"/>
      <c r="AA43">
        <v>100</v>
      </c>
      <c r="AB43"/>
      <c r="AC43">
        <v>99.833299999999994</v>
      </c>
      <c r="AD43"/>
      <c r="AE43">
        <v>100</v>
      </c>
      <c r="AF43"/>
      <c r="AG43">
        <v>100</v>
      </c>
      <c r="AH43"/>
      <c r="AI43">
        <v>100</v>
      </c>
      <c r="AJ43"/>
      <c r="AK43">
        <v>100</v>
      </c>
      <c r="AL43"/>
      <c r="AM43">
        <v>100</v>
      </c>
      <c r="AN43"/>
      <c r="AO43">
        <v>100</v>
      </c>
      <c r="AP43"/>
      <c r="AQ43">
        <v>100</v>
      </c>
      <c r="AR43"/>
      <c r="AS43">
        <v>100</v>
      </c>
      <c r="AT43"/>
      <c r="AU43">
        <v>99.833299999999994</v>
      </c>
      <c r="AV43"/>
      <c r="AW43">
        <v>100</v>
      </c>
      <c r="AX43"/>
      <c r="AY43">
        <v>100</v>
      </c>
      <c r="AZ43"/>
      <c r="BA43">
        <v>100</v>
      </c>
      <c r="BB43"/>
      <c r="BC43">
        <v>99.833299999999994</v>
      </c>
      <c r="BD43"/>
      <c r="BE43">
        <v>100</v>
      </c>
      <c r="BF43" s="26"/>
    </row>
    <row r="44" spans="1:58" x14ac:dyDescent="0.25">
      <c r="B44" s="26">
        <f>AVERAGE(C43,E43,G43,I43,K43,M43,O43,Q43,S43,U43,W43,Y43,AA43,AC43,AE43,AG43,AI43,AK43,AM43,AO43,AQ43,AS43,AU43,AW43,AY43,BA43,BC43,BE43)</f>
        <v>99.982139285714283</v>
      </c>
      <c r="C44" s="25" t="s">
        <v>1</v>
      </c>
      <c r="D44" s="26" t="s">
        <v>2</v>
      </c>
      <c r="E44" s="25" t="s">
        <v>1</v>
      </c>
      <c r="F44" s="26" t="s">
        <v>3</v>
      </c>
      <c r="G44" s="25" t="s">
        <v>1</v>
      </c>
      <c r="H44" s="26" t="s">
        <v>4</v>
      </c>
      <c r="I44" s="25" t="s">
        <v>1</v>
      </c>
      <c r="J44" s="26" t="s">
        <v>5</v>
      </c>
      <c r="K44" s="25" t="s">
        <v>1</v>
      </c>
      <c r="L44" s="26" t="s">
        <v>6</v>
      </c>
      <c r="M44" s="25" t="s">
        <v>1</v>
      </c>
      <c r="N44" s="26" t="s">
        <v>7</v>
      </c>
      <c r="O44" s="25" t="s">
        <v>1</v>
      </c>
      <c r="P44" s="26" t="s">
        <v>8</v>
      </c>
      <c r="Q44" s="28" t="s">
        <v>9</v>
      </c>
      <c r="R44" s="29" t="s">
        <v>3</v>
      </c>
      <c r="S44" s="28" t="s">
        <v>9</v>
      </c>
      <c r="T44" s="29" t="s">
        <v>10</v>
      </c>
      <c r="U44" s="28" t="s">
        <v>9</v>
      </c>
      <c r="V44" s="29" t="s">
        <v>11</v>
      </c>
      <c r="W44" s="28" t="s">
        <v>9</v>
      </c>
      <c r="X44" s="29" t="s">
        <v>6</v>
      </c>
      <c r="Y44" s="28" t="s">
        <v>9</v>
      </c>
      <c r="Z44" s="29" t="s">
        <v>7</v>
      </c>
      <c r="AA44" s="28" t="s">
        <v>9</v>
      </c>
      <c r="AB44" s="29" t="s">
        <v>8</v>
      </c>
      <c r="AC44" s="28" t="s">
        <v>3</v>
      </c>
      <c r="AD44" s="29" t="s">
        <v>10</v>
      </c>
      <c r="AE44" s="28" t="s">
        <v>3</v>
      </c>
      <c r="AF44" s="29" t="s">
        <v>11</v>
      </c>
      <c r="AG44" s="28" t="s">
        <v>3</v>
      </c>
      <c r="AH44" s="29" t="s">
        <v>6</v>
      </c>
      <c r="AI44" s="28" t="s">
        <v>3</v>
      </c>
      <c r="AJ44" s="29" t="s">
        <v>7</v>
      </c>
      <c r="AK44" s="28" t="s">
        <v>3</v>
      </c>
      <c r="AL44" s="29" t="s">
        <v>8</v>
      </c>
      <c r="AM44" s="28" t="s">
        <v>10</v>
      </c>
      <c r="AN44" s="29" t="s">
        <v>11</v>
      </c>
      <c r="AO44" s="28" t="s">
        <v>10</v>
      </c>
      <c r="AP44" s="29" t="s">
        <v>6</v>
      </c>
      <c r="AQ44" s="28" t="s">
        <v>10</v>
      </c>
      <c r="AR44" s="29" t="s">
        <v>7</v>
      </c>
      <c r="AS44" s="28" t="s">
        <v>10</v>
      </c>
      <c r="AT44" s="29" t="s">
        <v>8</v>
      </c>
      <c r="AU44" s="28" t="s">
        <v>11</v>
      </c>
      <c r="AV44" s="29" t="s">
        <v>6</v>
      </c>
      <c r="AW44" s="28" t="s">
        <v>11</v>
      </c>
      <c r="AX44" s="29" t="s">
        <v>7</v>
      </c>
      <c r="AY44" s="28" t="s">
        <v>11</v>
      </c>
      <c r="AZ44" s="29" t="s">
        <v>8</v>
      </c>
      <c r="BA44" s="28" t="s">
        <v>6</v>
      </c>
      <c r="BB44" s="29" t="s">
        <v>7</v>
      </c>
      <c r="BC44" s="28" t="s">
        <v>6</v>
      </c>
      <c r="BD44" s="29" t="s">
        <v>8</v>
      </c>
      <c r="BE44" s="28" t="s">
        <v>7</v>
      </c>
      <c r="BF44" s="29" t="s">
        <v>8</v>
      </c>
    </row>
    <row r="45" spans="1:58" x14ac:dyDescent="0.25">
      <c r="A45" s="27" t="s">
        <v>12</v>
      </c>
      <c r="B45" s="27" t="s">
        <v>4</v>
      </c>
      <c r="C45">
        <v>52.833300000000001</v>
      </c>
      <c r="D45"/>
      <c r="E45">
        <v>61.833300000000001</v>
      </c>
      <c r="F45"/>
      <c r="G45">
        <v>51</v>
      </c>
      <c r="H45"/>
      <c r="I45">
        <v>70.333299999999994</v>
      </c>
      <c r="J45"/>
      <c r="K45">
        <v>65</v>
      </c>
      <c r="L45"/>
      <c r="M45">
        <v>60.166699999999999</v>
      </c>
      <c r="N45"/>
      <c r="O45">
        <v>64.166700000000006</v>
      </c>
      <c r="P45"/>
      <c r="Q45">
        <v>67</v>
      </c>
      <c r="R45"/>
      <c r="S45">
        <v>54.833300000000001</v>
      </c>
      <c r="T45"/>
      <c r="U45">
        <v>51.166699999999999</v>
      </c>
      <c r="V45"/>
      <c r="W45">
        <v>50.833300000000001</v>
      </c>
      <c r="X45"/>
      <c r="Y45">
        <v>64.833299999999994</v>
      </c>
      <c r="Z45"/>
      <c r="AA45">
        <v>58.5</v>
      </c>
      <c r="AB45"/>
      <c r="AC45">
        <v>54.5</v>
      </c>
      <c r="AD45"/>
      <c r="AE45">
        <v>50.833300000000001</v>
      </c>
      <c r="AF45"/>
      <c r="AG45">
        <v>64.666700000000006</v>
      </c>
      <c r="AH45"/>
      <c r="AI45">
        <v>68.833299999999994</v>
      </c>
      <c r="AJ45"/>
      <c r="AK45">
        <v>52.166699999999999</v>
      </c>
      <c r="AL45"/>
      <c r="AM45">
        <v>57.166699999999999</v>
      </c>
      <c r="AN45"/>
      <c r="AO45">
        <v>59.833300000000001</v>
      </c>
      <c r="AP45"/>
      <c r="AQ45">
        <v>54.666699999999999</v>
      </c>
      <c r="AR45"/>
      <c r="AS45">
        <v>51.166699999999999</v>
      </c>
      <c r="AT45"/>
      <c r="AU45">
        <v>60.333300000000001</v>
      </c>
      <c r="AV45"/>
      <c r="AW45">
        <v>50.833300000000001</v>
      </c>
      <c r="AX45"/>
      <c r="AY45">
        <v>54</v>
      </c>
      <c r="AZ45"/>
      <c r="BA45">
        <v>54</v>
      </c>
      <c r="BB45"/>
      <c r="BC45">
        <v>54.333300000000001</v>
      </c>
      <c r="BD45"/>
      <c r="BE45">
        <v>57.166699999999999</v>
      </c>
      <c r="BF45" s="26"/>
    </row>
    <row r="46" spans="1:58" x14ac:dyDescent="0.25">
      <c r="B46" s="26">
        <f>AVERAGE(C45,E45,G45,I45,K45,M45,O45,Q45,S45,U45,W45,Y45,AA45,AC45,AE45,AG45,AI45,AK45,AM45,AO45,AQ45,AS45,AU45,AW45,AY45,BA45,BC45,BE45)</f>
        <v>57.749996428571428</v>
      </c>
      <c r="C46" s="25" t="s">
        <v>1</v>
      </c>
      <c r="D46" s="26" t="s">
        <v>2</v>
      </c>
      <c r="E46" s="25" t="s">
        <v>1</v>
      </c>
      <c r="F46" s="26" t="s">
        <v>3</v>
      </c>
      <c r="G46" s="25" t="s">
        <v>1</v>
      </c>
      <c r="H46" s="26" t="s">
        <v>4</v>
      </c>
      <c r="I46" s="25" t="s">
        <v>1</v>
      </c>
      <c r="J46" s="26" t="s">
        <v>5</v>
      </c>
      <c r="K46" s="25" t="s">
        <v>1</v>
      </c>
      <c r="L46" s="26" t="s">
        <v>6</v>
      </c>
      <c r="M46" s="25" t="s">
        <v>1</v>
      </c>
      <c r="N46" s="26" t="s">
        <v>7</v>
      </c>
      <c r="O46" s="25" t="s">
        <v>1</v>
      </c>
      <c r="P46" s="26" t="s">
        <v>8</v>
      </c>
      <c r="Q46" s="28" t="s">
        <v>9</v>
      </c>
      <c r="R46" s="29" t="s">
        <v>3</v>
      </c>
      <c r="S46" s="28" t="s">
        <v>9</v>
      </c>
      <c r="T46" s="29" t="s">
        <v>10</v>
      </c>
      <c r="U46" s="28" t="s">
        <v>9</v>
      </c>
      <c r="V46" s="29" t="s">
        <v>11</v>
      </c>
      <c r="W46" s="28" t="s">
        <v>9</v>
      </c>
      <c r="X46" s="29" t="s">
        <v>6</v>
      </c>
      <c r="Y46" s="28" t="s">
        <v>9</v>
      </c>
      <c r="Z46" s="29" t="s">
        <v>7</v>
      </c>
      <c r="AA46" s="28" t="s">
        <v>9</v>
      </c>
      <c r="AB46" s="29" t="s">
        <v>8</v>
      </c>
      <c r="AC46" s="28" t="s">
        <v>3</v>
      </c>
      <c r="AD46" s="29" t="s">
        <v>10</v>
      </c>
      <c r="AE46" s="28" t="s">
        <v>3</v>
      </c>
      <c r="AF46" s="29" t="s">
        <v>11</v>
      </c>
      <c r="AG46" s="28" t="s">
        <v>3</v>
      </c>
      <c r="AH46" s="29" t="s">
        <v>6</v>
      </c>
      <c r="AI46" s="28" t="s">
        <v>3</v>
      </c>
      <c r="AJ46" s="29" t="s">
        <v>7</v>
      </c>
      <c r="AK46" s="28" t="s">
        <v>3</v>
      </c>
      <c r="AL46" s="29" t="s">
        <v>8</v>
      </c>
      <c r="AM46" s="28" t="s">
        <v>10</v>
      </c>
      <c r="AN46" s="29" t="s">
        <v>11</v>
      </c>
      <c r="AO46" s="28" t="s">
        <v>10</v>
      </c>
      <c r="AP46" s="29" t="s">
        <v>6</v>
      </c>
      <c r="AQ46" s="28" t="s">
        <v>10</v>
      </c>
      <c r="AR46" s="29" t="s">
        <v>7</v>
      </c>
      <c r="AS46" s="28" t="s">
        <v>10</v>
      </c>
      <c r="AT46" s="29" t="s">
        <v>8</v>
      </c>
      <c r="AU46" s="28" t="s">
        <v>11</v>
      </c>
      <c r="AV46" s="29" t="s">
        <v>6</v>
      </c>
      <c r="AW46" s="28" t="s">
        <v>11</v>
      </c>
      <c r="AX46" s="29" t="s">
        <v>7</v>
      </c>
      <c r="AY46" s="28" t="s">
        <v>11</v>
      </c>
      <c r="AZ46" s="29" t="s">
        <v>8</v>
      </c>
      <c r="BA46" s="28" t="s">
        <v>6</v>
      </c>
      <c r="BB46" s="29" t="s">
        <v>7</v>
      </c>
      <c r="BC46" s="28" t="s">
        <v>6</v>
      </c>
      <c r="BD46" s="29" t="s">
        <v>8</v>
      </c>
      <c r="BE46" s="28" t="s">
        <v>7</v>
      </c>
      <c r="BF46" s="29" t="s">
        <v>8</v>
      </c>
    </row>
    <row r="47" spans="1:58" x14ac:dyDescent="0.25">
      <c r="A47" s="27" t="s">
        <v>12</v>
      </c>
      <c r="B47" s="27" t="s">
        <v>5</v>
      </c>
      <c r="C47">
        <v>81.666700000000006</v>
      </c>
      <c r="D47"/>
      <c r="E47">
        <v>80.666700000000006</v>
      </c>
      <c r="F47"/>
      <c r="G47">
        <v>80.833299999999994</v>
      </c>
      <c r="H47"/>
      <c r="I47">
        <v>80.5</v>
      </c>
      <c r="J47"/>
      <c r="K47">
        <v>84.5</v>
      </c>
      <c r="L47"/>
      <c r="M47">
        <v>85.166700000000006</v>
      </c>
      <c r="N47"/>
      <c r="O47">
        <v>84</v>
      </c>
      <c r="P47"/>
      <c r="Q47">
        <v>82.166700000000006</v>
      </c>
      <c r="R47"/>
      <c r="S47">
        <v>78.833299999999994</v>
      </c>
      <c r="T47"/>
      <c r="U47">
        <v>84.166700000000006</v>
      </c>
      <c r="V47"/>
      <c r="W47">
        <v>79.166700000000006</v>
      </c>
      <c r="X47"/>
      <c r="Y47">
        <v>80.166700000000006</v>
      </c>
      <c r="Z47"/>
      <c r="AA47">
        <v>78</v>
      </c>
      <c r="AB47"/>
      <c r="AC47">
        <v>82.666700000000006</v>
      </c>
      <c r="AD47"/>
      <c r="AE47">
        <v>81.833299999999994</v>
      </c>
      <c r="AF47"/>
      <c r="AG47">
        <v>80.5</v>
      </c>
      <c r="AH47"/>
      <c r="AI47">
        <v>77.5</v>
      </c>
      <c r="AJ47"/>
      <c r="AK47">
        <v>83</v>
      </c>
      <c r="AL47"/>
      <c r="AM47">
        <v>78.833299999999994</v>
      </c>
      <c r="AN47"/>
      <c r="AO47">
        <v>79.333299999999994</v>
      </c>
      <c r="AP47"/>
      <c r="AQ47">
        <v>79.5</v>
      </c>
      <c r="AR47"/>
      <c r="AS47">
        <v>78.666700000000006</v>
      </c>
      <c r="AT47"/>
      <c r="AU47">
        <v>80.333299999999994</v>
      </c>
      <c r="AV47"/>
      <c r="AW47">
        <v>84.833299999999994</v>
      </c>
      <c r="AX47"/>
      <c r="AY47">
        <v>81.333299999999994</v>
      </c>
      <c r="AZ47"/>
      <c r="BA47">
        <v>79.5</v>
      </c>
      <c r="BB47"/>
      <c r="BC47">
        <v>79.166700000000006</v>
      </c>
      <c r="BD47"/>
      <c r="BE47">
        <v>81.833299999999994</v>
      </c>
      <c r="BF47" s="26"/>
    </row>
    <row r="48" spans="1:58" x14ac:dyDescent="0.25">
      <c r="B48" s="26">
        <f>AVERAGE(C47,E47,G47,I47,K47,M47,O47,Q47,S47,U47,W47,Y47,AA47,AC47,AE47,AG47,AI47,AK47,AM47,AO47,AQ47,AS47,AU47,AW47,AY47,BA47,BC47,BE47)</f>
        <v>81.023810714285702</v>
      </c>
      <c r="C48" s="25" t="s">
        <v>1</v>
      </c>
      <c r="D48" s="26" t="s">
        <v>2</v>
      </c>
      <c r="E48" s="25" t="s">
        <v>1</v>
      </c>
      <c r="F48" s="26" t="s">
        <v>3</v>
      </c>
      <c r="G48" s="25" t="s">
        <v>1</v>
      </c>
      <c r="H48" s="26" t="s">
        <v>4</v>
      </c>
      <c r="I48" s="25" t="s">
        <v>1</v>
      </c>
      <c r="J48" s="26" t="s">
        <v>5</v>
      </c>
      <c r="K48" s="25" t="s">
        <v>1</v>
      </c>
      <c r="L48" s="26" t="s">
        <v>6</v>
      </c>
      <c r="M48" s="25" t="s">
        <v>1</v>
      </c>
      <c r="N48" s="26" t="s">
        <v>7</v>
      </c>
      <c r="O48" s="25" t="s">
        <v>1</v>
      </c>
      <c r="P48" s="26" t="s">
        <v>8</v>
      </c>
      <c r="Q48" s="28" t="s">
        <v>9</v>
      </c>
      <c r="R48" s="29" t="s">
        <v>3</v>
      </c>
      <c r="S48" s="28" t="s">
        <v>9</v>
      </c>
      <c r="T48" s="29" t="s">
        <v>10</v>
      </c>
      <c r="U48" s="28" t="s">
        <v>9</v>
      </c>
      <c r="V48" s="29" t="s">
        <v>11</v>
      </c>
      <c r="W48" s="28" t="s">
        <v>9</v>
      </c>
      <c r="X48" s="29" t="s">
        <v>6</v>
      </c>
      <c r="Y48" s="28" t="s">
        <v>9</v>
      </c>
      <c r="Z48" s="29" t="s">
        <v>7</v>
      </c>
      <c r="AA48" s="28" t="s">
        <v>9</v>
      </c>
      <c r="AB48" s="29" t="s">
        <v>8</v>
      </c>
      <c r="AC48" s="28" t="s">
        <v>3</v>
      </c>
      <c r="AD48" s="29" t="s">
        <v>10</v>
      </c>
      <c r="AE48" s="28" t="s">
        <v>3</v>
      </c>
      <c r="AF48" s="29" t="s">
        <v>11</v>
      </c>
      <c r="AG48" s="28" t="s">
        <v>3</v>
      </c>
      <c r="AH48" s="29" t="s">
        <v>6</v>
      </c>
      <c r="AI48" s="28" t="s">
        <v>3</v>
      </c>
      <c r="AJ48" s="29" t="s">
        <v>7</v>
      </c>
      <c r="AK48" s="28" t="s">
        <v>3</v>
      </c>
      <c r="AL48" s="29" t="s">
        <v>8</v>
      </c>
      <c r="AM48" s="28" t="s">
        <v>10</v>
      </c>
      <c r="AN48" s="29" t="s">
        <v>11</v>
      </c>
      <c r="AO48" s="28" t="s">
        <v>10</v>
      </c>
      <c r="AP48" s="29" t="s">
        <v>6</v>
      </c>
      <c r="AQ48" s="28" t="s">
        <v>10</v>
      </c>
      <c r="AR48" s="29" t="s">
        <v>7</v>
      </c>
      <c r="AS48" s="28" t="s">
        <v>10</v>
      </c>
      <c r="AT48" s="29" t="s">
        <v>8</v>
      </c>
      <c r="AU48" s="28" t="s">
        <v>11</v>
      </c>
      <c r="AV48" s="29" t="s">
        <v>6</v>
      </c>
      <c r="AW48" s="28" t="s">
        <v>11</v>
      </c>
      <c r="AX48" s="29" t="s">
        <v>7</v>
      </c>
      <c r="AY48" s="28" t="s">
        <v>11</v>
      </c>
      <c r="AZ48" s="29" t="s">
        <v>8</v>
      </c>
      <c r="BA48" s="28" t="s">
        <v>6</v>
      </c>
      <c r="BB48" s="29" t="s">
        <v>7</v>
      </c>
      <c r="BC48" s="28" t="s">
        <v>6</v>
      </c>
      <c r="BD48" s="29" t="s">
        <v>8</v>
      </c>
      <c r="BE48" s="28" t="s">
        <v>7</v>
      </c>
      <c r="BF48" s="29" t="s">
        <v>8</v>
      </c>
    </row>
    <row r="49" spans="1:58" x14ac:dyDescent="0.25">
      <c r="A49" s="27" t="s">
        <v>12</v>
      </c>
      <c r="B49" s="27" t="s">
        <v>6</v>
      </c>
      <c r="C49">
        <v>88</v>
      </c>
      <c r="D49"/>
      <c r="E49">
        <v>91</v>
      </c>
      <c r="F49"/>
      <c r="G49">
        <v>86</v>
      </c>
      <c r="H49"/>
      <c r="I49">
        <v>92</v>
      </c>
      <c r="J49"/>
      <c r="K49">
        <v>90</v>
      </c>
      <c r="L49"/>
      <c r="M49">
        <v>91.666700000000006</v>
      </c>
      <c r="N49"/>
      <c r="O49">
        <v>91.833299999999994</v>
      </c>
      <c r="P49"/>
      <c r="Q49">
        <v>91.5</v>
      </c>
      <c r="R49"/>
      <c r="S49">
        <v>90.666700000000006</v>
      </c>
      <c r="T49"/>
      <c r="U49">
        <v>88.166700000000006</v>
      </c>
      <c r="V49"/>
      <c r="W49">
        <v>89.666700000000006</v>
      </c>
      <c r="X49"/>
      <c r="Y49">
        <v>90.333299999999994</v>
      </c>
      <c r="Z49"/>
      <c r="AA49">
        <v>88.5</v>
      </c>
      <c r="AB49"/>
      <c r="AC49">
        <v>90.666700000000006</v>
      </c>
      <c r="AD49"/>
      <c r="AE49">
        <v>90.666700000000006</v>
      </c>
      <c r="AF49"/>
      <c r="AG49">
        <v>94.333299999999994</v>
      </c>
      <c r="AH49"/>
      <c r="AI49">
        <v>92.5</v>
      </c>
      <c r="AJ49"/>
      <c r="AK49">
        <v>90.166700000000006</v>
      </c>
      <c r="AL49"/>
      <c r="AM49">
        <v>90.333299999999994</v>
      </c>
      <c r="AN49"/>
      <c r="AO49">
        <v>89.666700000000006</v>
      </c>
      <c r="AP49"/>
      <c r="AQ49">
        <v>93.333299999999994</v>
      </c>
      <c r="AR49"/>
      <c r="AS49">
        <v>91.166700000000006</v>
      </c>
      <c r="AT49"/>
      <c r="AU49">
        <v>88.5</v>
      </c>
      <c r="AV49"/>
      <c r="AW49">
        <v>91</v>
      </c>
      <c r="AX49"/>
      <c r="AY49">
        <v>85.166700000000006</v>
      </c>
      <c r="AZ49"/>
      <c r="BA49">
        <v>92.833299999999994</v>
      </c>
      <c r="BB49"/>
      <c r="BC49">
        <v>91.5</v>
      </c>
      <c r="BD49"/>
      <c r="BE49">
        <v>89.833299999999994</v>
      </c>
      <c r="BF49" s="26"/>
    </row>
    <row r="50" spans="1:58" x14ac:dyDescent="0.25">
      <c r="B50" s="26">
        <f>AVERAGE(C49,E49,G49,I49,K49,M49,O49,Q49,S49,U49,W49,Y49,AA49,AC49,AE49,AG49,AI49,AK49,AM49,AO49,AQ49,AS49,AU49,AW49,AY49,BA49,BC49,BE49)</f>
        <v>90.392860714285703</v>
      </c>
      <c r="C50" s="25" t="s">
        <v>1</v>
      </c>
      <c r="D50" s="26" t="s">
        <v>2</v>
      </c>
      <c r="E50" s="25" t="s">
        <v>1</v>
      </c>
      <c r="F50" s="26" t="s">
        <v>3</v>
      </c>
      <c r="G50" s="25" t="s">
        <v>1</v>
      </c>
      <c r="H50" s="26" t="s">
        <v>4</v>
      </c>
      <c r="I50" s="25" t="s">
        <v>1</v>
      </c>
      <c r="J50" s="26" t="s">
        <v>5</v>
      </c>
      <c r="K50" s="25" t="s">
        <v>1</v>
      </c>
      <c r="L50" s="26" t="s">
        <v>6</v>
      </c>
      <c r="M50" s="25" t="s">
        <v>1</v>
      </c>
      <c r="N50" s="26" t="s">
        <v>7</v>
      </c>
      <c r="O50" s="25" t="s">
        <v>1</v>
      </c>
      <c r="P50" s="26" t="s">
        <v>8</v>
      </c>
      <c r="Q50" s="28" t="s">
        <v>9</v>
      </c>
      <c r="R50" s="29" t="s">
        <v>3</v>
      </c>
      <c r="S50" s="28" t="s">
        <v>9</v>
      </c>
      <c r="T50" s="29" t="s">
        <v>10</v>
      </c>
      <c r="U50" s="28" t="s">
        <v>9</v>
      </c>
      <c r="V50" s="29" t="s">
        <v>11</v>
      </c>
      <c r="W50" s="28" t="s">
        <v>9</v>
      </c>
      <c r="X50" s="29" t="s">
        <v>6</v>
      </c>
      <c r="Y50" s="28" t="s">
        <v>9</v>
      </c>
      <c r="Z50" s="29" t="s">
        <v>7</v>
      </c>
      <c r="AA50" s="28" t="s">
        <v>9</v>
      </c>
      <c r="AB50" s="29" t="s">
        <v>8</v>
      </c>
      <c r="AC50" s="28" t="s">
        <v>3</v>
      </c>
      <c r="AD50" s="29" t="s">
        <v>10</v>
      </c>
      <c r="AE50" s="28" t="s">
        <v>3</v>
      </c>
      <c r="AF50" s="29" t="s">
        <v>11</v>
      </c>
      <c r="AG50" s="28" t="s">
        <v>3</v>
      </c>
      <c r="AH50" s="29" t="s">
        <v>6</v>
      </c>
      <c r="AI50" s="28" t="s">
        <v>3</v>
      </c>
      <c r="AJ50" s="29" t="s">
        <v>7</v>
      </c>
      <c r="AK50" s="28" t="s">
        <v>3</v>
      </c>
      <c r="AL50" s="29" t="s">
        <v>8</v>
      </c>
      <c r="AM50" s="28" t="s">
        <v>10</v>
      </c>
      <c r="AN50" s="29" t="s">
        <v>11</v>
      </c>
      <c r="AO50" s="28" t="s">
        <v>10</v>
      </c>
      <c r="AP50" s="29" t="s">
        <v>6</v>
      </c>
      <c r="AQ50" s="28" t="s">
        <v>10</v>
      </c>
      <c r="AR50" s="29" t="s">
        <v>7</v>
      </c>
      <c r="AS50" s="28" t="s">
        <v>10</v>
      </c>
      <c r="AT50" s="29" t="s">
        <v>8</v>
      </c>
      <c r="AU50" s="28" t="s">
        <v>11</v>
      </c>
      <c r="AV50" s="29" t="s">
        <v>6</v>
      </c>
      <c r="AW50" s="28" t="s">
        <v>11</v>
      </c>
      <c r="AX50" s="29" t="s">
        <v>7</v>
      </c>
      <c r="AY50" s="28" t="s">
        <v>11</v>
      </c>
      <c r="AZ50" s="29" t="s">
        <v>8</v>
      </c>
      <c r="BA50" s="28" t="s">
        <v>6</v>
      </c>
      <c r="BB50" s="29" t="s">
        <v>7</v>
      </c>
      <c r="BC50" s="28" t="s">
        <v>6</v>
      </c>
      <c r="BD50" s="29" t="s">
        <v>8</v>
      </c>
      <c r="BE50" s="28" t="s">
        <v>7</v>
      </c>
      <c r="BF50" s="29" t="s">
        <v>8</v>
      </c>
    </row>
    <row r="51" spans="1:58" x14ac:dyDescent="0.25">
      <c r="A51" s="27" t="s">
        <v>12</v>
      </c>
      <c r="B51" s="27" t="s">
        <v>7</v>
      </c>
      <c r="C51">
        <v>85.5</v>
      </c>
      <c r="D51"/>
      <c r="E51">
        <v>89.833299999999994</v>
      </c>
      <c r="F51"/>
      <c r="G51">
        <v>85</v>
      </c>
      <c r="H51"/>
      <c r="I51">
        <v>88.833299999999994</v>
      </c>
      <c r="J51"/>
      <c r="K51">
        <v>87.833299999999994</v>
      </c>
      <c r="L51"/>
      <c r="M51">
        <v>87.5</v>
      </c>
      <c r="N51"/>
      <c r="O51">
        <v>88</v>
      </c>
      <c r="P51"/>
      <c r="Q51">
        <v>88.666700000000006</v>
      </c>
      <c r="R51"/>
      <c r="S51">
        <v>86</v>
      </c>
      <c r="T51"/>
      <c r="U51">
        <v>90.666700000000006</v>
      </c>
      <c r="V51"/>
      <c r="W51">
        <v>88.166700000000006</v>
      </c>
      <c r="X51"/>
      <c r="Y51">
        <v>86.666700000000006</v>
      </c>
      <c r="Z51"/>
      <c r="AA51">
        <v>91.833299999999994</v>
      </c>
      <c r="AB51"/>
      <c r="AC51">
        <v>86.666700000000006</v>
      </c>
      <c r="AD51"/>
      <c r="AE51">
        <v>89.833299999999994</v>
      </c>
      <c r="AF51"/>
      <c r="AG51">
        <v>89.333299999999994</v>
      </c>
      <c r="AH51"/>
      <c r="AI51">
        <v>88.166700000000006</v>
      </c>
      <c r="AJ51"/>
      <c r="AK51">
        <v>88</v>
      </c>
      <c r="AL51"/>
      <c r="AM51">
        <v>88.166700000000006</v>
      </c>
      <c r="AN51"/>
      <c r="AO51">
        <v>92</v>
      </c>
      <c r="AP51"/>
      <c r="AQ51">
        <v>88.5</v>
      </c>
      <c r="AR51"/>
      <c r="AS51">
        <v>87.166700000000006</v>
      </c>
      <c r="AT51"/>
      <c r="AU51">
        <v>87.666700000000006</v>
      </c>
      <c r="AV51"/>
      <c r="AW51">
        <v>87.833299999999994</v>
      </c>
      <c r="AX51"/>
      <c r="AY51">
        <v>85.666700000000006</v>
      </c>
      <c r="AZ51"/>
      <c r="BA51">
        <v>89.333299999999994</v>
      </c>
      <c r="BB51"/>
      <c r="BC51">
        <v>91.166700000000006</v>
      </c>
      <c r="BD51"/>
      <c r="BE51">
        <v>89.833299999999994</v>
      </c>
      <c r="BF51" s="26"/>
    </row>
    <row r="52" spans="1:58" x14ac:dyDescent="0.25">
      <c r="B52" s="26">
        <f>AVERAGE(C51,E51,G51,I51,K51,M51,O51,Q51,S51,U51,W51,Y51,AA51,AC51,AE51,AG51,AI51,AK51,AM51,AO51,AQ51,AS51,AU51,AW51,AY51,BA51,BC51,BE51)</f>
        <v>88.351192857142863</v>
      </c>
      <c r="C52" s="25" t="s">
        <v>1</v>
      </c>
      <c r="D52" s="26" t="s">
        <v>2</v>
      </c>
      <c r="E52" s="25" t="s">
        <v>1</v>
      </c>
      <c r="F52" s="26" t="s">
        <v>3</v>
      </c>
      <c r="G52" s="25" t="s">
        <v>1</v>
      </c>
      <c r="H52" s="26" t="s">
        <v>4</v>
      </c>
      <c r="I52" s="25" t="s">
        <v>1</v>
      </c>
      <c r="J52" s="26" t="s">
        <v>5</v>
      </c>
      <c r="K52" s="25" t="s">
        <v>1</v>
      </c>
      <c r="L52" s="26" t="s">
        <v>6</v>
      </c>
      <c r="M52" s="25" t="s">
        <v>1</v>
      </c>
      <c r="N52" s="26" t="s">
        <v>7</v>
      </c>
      <c r="O52" s="25" t="s">
        <v>1</v>
      </c>
      <c r="P52" s="26" t="s">
        <v>8</v>
      </c>
      <c r="Q52" s="28" t="s">
        <v>9</v>
      </c>
      <c r="R52" s="29" t="s">
        <v>3</v>
      </c>
      <c r="S52" s="28" t="s">
        <v>9</v>
      </c>
      <c r="T52" s="29" t="s">
        <v>10</v>
      </c>
      <c r="U52" s="28" t="s">
        <v>9</v>
      </c>
      <c r="V52" s="29" t="s">
        <v>11</v>
      </c>
      <c r="W52" s="28" t="s">
        <v>9</v>
      </c>
      <c r="X52" s="29" t="s">
        <v>6</v>
      </c>
      <c r="Y52" s="28" t="s">
        <v>9</v>
      </c>
      <c r="Z52" s="29" t="s">
        <v>7</v>
      </c>
      <c r="AA52" s="28" t="s">
        <v>9</v>
      </c>
      <c r="AB52" s="29" t="s">
        <v>8</v>
      </c>
      <c r="AC52" s="28" t="s">
        <v>3</v>
      </c>
      <c r="AD52" s="29" t="s">
        <v>10</v>
      </c>
      <c r="AE52" s="28" t="s">
        <v>3</v>
      </c>
      <c r="AF52" s="29" t="s">
        <v>11</v>
      </c>
      <c r="AG52" s="28" t="s">
        <v>3</v>
      </c>
      <c r="AH52" s="29" t="s">
        <v>6</v>
      </c>
      <c r="AI52" s="28" t="s">
        <v>3</v>
      </c>
      <c r="AJ52" s="29" t="s">
        <v>7</v>
      </c>
      <c r="AK52" s="28" t="s">
        <v>3</v>
      </c>
      <c r="AL52" s="29" t="s">
        <v>8</v>
      </c>
      <c r="AM52" s="28" t="s">
        <v>10</v>
      </c>
      <c r="AN52" s="29" t="s">
        <v>11</v>
      </c>
      <c r="AO52" s="28" t="s">
        <v>10</v>
      </c>
      <c r="AP52" s="29" t="s">
        <v>6</v>
      </c>
      <c r="AQ52" s="28" t="s">
        <v>10</v>
      </c>
      <c r="AR52" s="29" t="s">
        <v>7</v>
      </c>
      <c r="AS52" s="28" t="s">
        <v>10</v>
      </c>
      <c r="AT52" s="29" t="s">
        <v>8</v>
      </c>
      <c r="AU52" s="28" t="s">
        <v>11</v>
      </c>
      <c r="AV52" s="29" t="s">
        <v>6</v>
      </c>
      <c r="AW52" s="28" t="s">
        <v>11</v>
      </c>
      <c r="AX52" s="29" t="s">
        <v>7</v>
      </c>
      <c r="AY52" s="28" t="s">
        <v>11</v>
      </c>
      <c r="AZ52" s="29" t="s">
        <v>8</v>
      </c>
      <c r="BA52" s="28" t="s">
        <v>6</v>
      </c>
      <c r="BB52" s="29" t="s">
        <v>7</v>
      </c>
      <c r="BC52" s="28" t="s">
        <v>6</v>
      </c>
      <c r="BD52" s="29" t="s">
        <v>8</v>
      </c>
      <c r="BE52" s="28" t="s">
        <v>7</v>
      </c>
      <c r="BF52" s="29" t="s">
        <v>8</v>
      </c>
    </row>
    <row r="53" spans="1:58" x14ac:dyDescent="0.25">
      <c r="A53" s="27" t="s">
        <v>12</v>
      </c>
      <c r="B53" s="27" t="s">
        <v>8</v>
      </c>
      <c r="C53">
        <v>94.333299999999994</v>
      </c>
      <c r="D53"/>
      <c r="E53">
        <v>95.666700000000006</v>
      </c>
      <c r="F53"/>
      <c r="G53">
        <v>94.833299999999994</v>
      </c>
      <c r="H53"/>
      <c r="I53">
        <v>96.833299999999994</v>
      </c>
      <c r="J53"/>
      <c r="K53">
        <v>96.333299999999994</v>
      </c>
      <c r="L53"/>
      <c r="M53">
        <v>95.666700000000006</v>
      </c>
      <c r="N53"/>
      <c r="O53">
        <v>95.166700000000006</v>
      </c>
      <c r="P53"/>
      <c r="Q53">
        <v>96</v>
      </c>
      <c r="R53"/>
      <c r="S53">
        <v>95.166700000000006</v>
      </c>
      <c r="T53"/>
      <c r="U53">
        <v>96.333299999999994</v>
      </c>
      <c r="V53"/>
      <c r="W53">
        <v>95.666700000000006</v>
      </c>
      <c r="X53"/>
      <c r="Y53">
        <v>95.5</v>
      </c>
      <c r="Z53"/>
      <c r="AA53">
        <v>94.5</v>
      </c>
      <c r="AB53"/>
      <c r="AC53">
        <v>95.666700000000006</v>
      </c>
      <c r="AD53"/>
      <c r="AE53">
        <v>93.333299999999994</v>
      </c>
      <c r="AF53"/>
      <c r="AG53">
        <v>96</v>
      </c>
      <c r="AH53"/>
      <c r="AI53">
        <v>95.5</v>
      </c>
      <c r="AJ53"/>
      <c r="AK53">
        <v>96.666700000000006</v>
      </c>
      <c r="AL53"/>
      <c r="AM53">
        <v>94.5</v>
      </c>
      <c r="AN53"/>
      <c r="AO53">
        <v>93</v>
      </c>
      <c r="AP53"/>
      <c r="AQ53">
        <v>93.166700000000006</v>
      </c>
      <c r="AR53"/>
      <c r="AS53">
        <v>94.666700000000006</v>
      </c>
      <c r="AT53"/>
      <c r="AU53">
        <v>96.5</v>
      </c>
      <c r="AV53"/>
      <c r="AW53">
        <v>95.833299999999994</v>
      </c>
      <c r="AX53"/>
      <c r="AY53">
        <v>96.333299999999994</v>
      </c>
      <c r="AZ53"/>
      <c r="BA53">
        <v>96.5</v>
      </c>
      <c r="BB53"/>
      <c r="BC53">
        <v>97.333299999999994</v>
      </c>
      <c r="BD53"/>
      <c r="BE53">
        <v>93.5</v>
      </c>
      <c r="BF53" s="26"/>
    </row>
    <row r="54" spans="1:58" x14ac:dyDescent="0.25">
      <c r="B54" s="26">
        <f>AVERAGE(C53,E53,G53,I53,K53,M53,O53,Q53,S53,U53,W53,Y53,AA53,AC53,AE53,AG53,AI53,AK53,AM53,AO53,AQ53,AS53,AU53,AW53,AY53,BA53,BC53,BE53)</f>
        <v>95.374999999999986</v>
      </c>
    </row>
    <row r="55" spans="1:58" x14ac:dyDescent="0.25">
      <c r="A55" s="110" t="s">
        <v>15</v>
      </c>
      <c r="B55" s="110"/>
      <c r="C55" s="25">
        <v>1</v>
      </c>
      <c r="D55" s="26"/>
      <c r="E55" s="25">
        <v>2</v>
      </c>
      <c r="F55" s="26"/>
      <c r="G55" s="25">
        <v>3</v>
      </c>
      <c r="H55" s="26"/>
      <c r="I55" s="25">
        <v>4</v>
      </c>
      <c r="J55" s="26"/>
      <c r="K55" s="25">
        <v>5</v>
      </c>
      <c r="L55" s="26"/>
      <c r="M55" s="25">
        <v>6</v>
      </c>
      <c r="N55" s="26"/>
      <c r="O55" s="25">
        <v>7</v>
      </c>
      <c r="P55" s="26"/>
      <c r="Q55" s="25">
        <v>1</v>
      </c>
      <c r="R55" s="26"/>
      <c r="S55" s="25">
        <v>2</v>
      </c>
      <c r="T55" s="26"/>
      <c r="U55" s="25">
        <v>3</v>
      </c>
      <c r="V55" s="26"/>
      <c r="W55" s="25">
        <v>4</v>
      </c>
      <c r="X55" s="26"/>
      <c r="Y55" s="25">
        <v>5</v>
      </c>
      <c r="Z55" s="26"/>
      <c r="AA55" s="25">
        <v>6</v>
      </c>
      <c r="AB55" s="26"/>
      <c r="AC55" s="25">
        <v>1</v>
      </c>
      <c r="AD55" s="26"/>
      <c r="AE55" s="25">
        <v>2</v>
      </c>
      <c r="AF55" s="26"/>
      <c r="AG55" s="25">
        <v>3</v>
      </c>
      <c r="AH55" s="26"/>
      <c r="AI55" s="25">
        <v>4</v>
      </c>
      <c r="AJ55" s="26"/>
      <c r="AK55" s="25">
        <v>5</v>
      </c>
      <c r="AL55" s="26"/>
      <c r="AM55" s="25">
        <v>1</v>
      </c>
      <c r="AN55" s="26"/>
      <c r="AO55" s="25">
        <v>2</v>
      </c>
      <c r="AP55" s="26"/>
      <c r="AQ55" s="25">
        <v>3</v>
      </c>
      <c r="AR55" s="26"/>
      <c r="AS55" s="25">
        <v>4</v>
      </c>
      <c r="AT55" s="26"/>
      <c r="AU55" s="25">
        <v>1</v>
      </c>
      <c r="AV55" s="26"/>
      <c r="AW55" s="25">
        <v>2</v>
      </c>
      <c r="AX55" s="26"/>
      <c r="AY55" s="25">
        <v>3</v>
      </c>
      <c r="AZ55" s="26"/>
      <c r="BA55" s="25">
        <v>1</v>
      </c>
      <c r="BB55" s="26"/>
      <c r="BC55" s="25">
        <v>2</v>
      </c>
      <c r="BD55" s="26"/>
      <c r="BE55" s="25">
        <v>1</v>
      </c>
      <c r="BF55" s="26"/>
    </row>
    <row r="56" spans="1:58" x14ac:dyDescent="0.25">
      <c r="A56" s="110"/>
      <c r="B56" s="110"/>
      <c r="C56" s="25" t="s">
        <v>1</v>
      </c>
      <c r="D56" s="26" t="s">
        <v>2</v>
      </c>
      <c r="E56" s="25" t="s">
        <v>1</v>
      </c>
      <c r="F56" s="26" t="s">
        <v>3</v>
      </c>
      <c r="G56" s="25" t="s">
        <v>1</v>
      </c>
      <c r="H56" s="26" t="s">
        <v>4</v>
      </c>
      <c r="I56" s="25" t="s">
        <v>1</v>
      </c>
      <c r="J56" s="26" t="s">
        <v>5</v>
      </c>
      <c r="K56" s="25" t="s">
        <v>1</v>
      </c>
      <c r="L56" s="26" t="s">
        <v>6</v>
      </c>
      <c r="M56" s="25" t="s">
        <v>1</v>
      </c>
      <c r="N56" s="26" t="s">
        <v>7</v>
      </c>
      <c r="O56" s="25" t="s">
        <v>1</v>
      </c>
      <c r="P56" s="26" t="s">
        <v>8</v>
      </c>
      <c r="Q56" s="28" t="s">
        <v>9</v>
      </c>
      <c r="R56" s="29" t="s">
        <v>3</v>
      </c>
      <c r="S56" s="28" t="s">
        <v>9</v>
      </c>
      <c r="T56" s="29" t="s">
        <v>10</v>
      </c>
      <c r="U56" s="28" t="s">
        <v>9</v>
      </c>
      <c r="V56" s="29" t="s">
        <v>11</v>
      </c>
      <c r="W56" s="28" t="s">
        <v>9</v>
      </c>
      <c r="X56" s="29" t="s">
        <v>6</v>
      </c>
      <c r="Y56" s="28" t="s">
        <v>9</v>
      </c>
      <c r="Z56" s="29" t="s">
        <v>7</v>
      </c>
      <c r="AA56" s="28" t="s">
        <v>9</v>
      </c>
      <c r="AB56" s="29" t="s">
        <v>8</v>
      </c>
      <c r="AC56" s="28" t="s">
        <v>3</v>
      </c>
      <c r="AD56" s="29" t="s">
        <v>10</v>
      </c>
      <c r="AE56" s="28" t="s">
        <v>3</v>
      </c>
      <c r="AF56" s="29" t="s">
        <v>11</v>
      </c>
      <c r="AG56" s="28" t="s">
        <v>3</v>
      </c>
      <c r="AH56" s="29" t="s">
        <v>6</v>
      </c>
      <c r="AI56" s="28" t="s">
        <v>3</v>
      </c>
      <c r="AJ56" s="29" t="s">
        <v>7</v>
      </c>
      <c r="AK56" s="28" t="s">
        <v>3</v>
      </c>
      <c r="AL56" s="29" t="s">
        <v>8</v>
      </c>
      <c r="AM56" s="28" t="s">
        <v>10</v>
      </c>
      <c r="AN56" s="29" t="s">
        <v>11</v>
      </c>
      <c r="AO56" s="28" t="s">
        <v>10</v>
      </c>
      <c r="AP56" s="29" t="s">
        <v>6</v>
      </c>
      <c r="AQ56" s="28" t="s">
        <v>10</v>
      </c>
      <c r="AR56" s="29" t="s">
        <v>7</v>
      </c>
      <c r="AS56" s="28" t="s">
        <v>10</v>
      </c>
      <c r="AT56" s="29" t="s">
        <v>8</v>
      </c>
      <c r="AU56" s="28" t="s">
        <v>11</v>
      </c>
      <c r="AV56" s="29" t="s">
        <v>6</v>
      </c>
      <c r="AW56" s="28" t="s">
        <v>11</v>
      </c>
      <c r="AX56" s="29" t="s">
        <v>7</v>
      </c>
      <c r="AY56" s="28" t="s">
        <v>11</v>
      </c>
      <c r="AZ56" s="29" t="s">
        <v>8</v>
      </c>
      <c r="BA56" s="28" t="s">
        <v>6</v>
      </c>
      <c r="BB56" s="29" t="s">
        <v>7</v>
      </c>
      <c r="BC56" s="28" t="s">
        <v>6</v>
      </c>
      <c r="BD56" s="29" t="s">
        <v>8</v>
      </c>
      <c r="BE56" s="28" t="s">
        <v>7</v>
      </c>
      <c r="BF56" s="29" t="s">
        <v>8</v>
      </c>
    </row>
    <row r="57" spans="1:58" x14ac:dyDescent="0.25">
      <c r="A57" s="27" t="s">
        <v>12</v>
      </c>
      <c r="B57" s="27" t="s">
        <v>1</v>
      </c>
      <c r="C57">
        <v>95.333299999999994</v>
      </c>
      <c r="D57"/>
      <c r="E57">
        <v>95.5</v>
      </c>
      <c r="F57"/>
      <c r="G57">
        <v>95.833299999999994</v>
      </c>
      <c r="H57"/>
      <c r="I57">
        <v>95.833299999999994</v>
      </c>
      <c r="J57"/>
      <c r="K57">
        <v>94.5</v>
      </c>
      <c r="L57"/>
      <c r="M57">
        <v>95.833299999999994</v>
      </c>
      <c r="N57"/>
      <c r="O57">
        <v>95.833299999999994</v>
      </c>
      <c r="P57"/>
      <c r="Q57">
        <v>94.666700000000006</v>
      </c>
      <c r="R57"/>
      <c r="S57">
        <v>95.666700000000006</v>
      </c>
      <c r="T57"/>
      <c r="U57">
        <v>95.833299999999994</v>
      </c>
      <c r="V57"/>
      <c r="W57">
        <v>96</v>
      </c>
      <c r="X57"/>
      <c r="Y57">
        <v>95.5</v>
      </c>
      <c r="Z57"/>
      <c r="AA57">
        <v>96.166700000000006</v>
      </c>
      <c r="AB57"/>
      <c r="AC57">
        <v>95.5</v>
      </c>
      <c r="AD57"/>
      <c r="AE57">
        <v>96.333299999999994</v>
      </c>
      <c r="AF57"/>
      <c r="AG57">
        <v>95.5</v>
      </c>
      <c r="AH57"/>
      <c r="AI57">
        <v>95.5</v>
      </c>
      <c r="AJ57"/>
      <c r="AK57">
        <v>95.666700000000006</v>
      </c>
      <c r="AL57"/>
      <c r="AM57">
        <v>96</v>
      </c>
      <c r="AN57"/>
      <c r="AO57">
        <v>95.5</v>
      </c>
      <c r="AP57"/>
      <c r="AQ57">
        <v>96</v>
      </c>
      <c r="AR57"/>
      <c r="AS57">
        <v>95.833299999999994</v>
      </c>
      <c r="AT57"/>
      <c r="AU57">
        <v>94.666700000000006</v>
      </c>
      <c r="AV57"/>
      <c r="AW57">
        <v>95.333299999999994</v>
      </c>
      <c r="AX57"/>
      <c r="AY57">
        <v>94.666700000000006</v>
      </c>
      <c r="AZ57"/>
      <c r="BA57">
        <v>96.5</v>
      </c>
      <c r="BB57"/>
      <c r="BC57">
        <v>95.833299999999994</v>
      </c>
      <c r="BD57"/>
      <c r="BE57">
        <v>95.833299999999994</v>
      </c>
      <c r="BF57" s="26"/>
    </row>
    <row r="58" spans="1:58" x14ac:dyDescent="0.25">
      <c r="B58" s="26">
        <f>AVERAGE(C57,E57,G57,I57,K57,M57,O57,Q57,S57,U57,W57,Y57,AA57,AC57,AE57,AG57,AI57,AK57,AM57,AO57,AQ57,AS57,AU57,AW57,AY57,BA57,BC57,BE57)</f>
        <v>95.613089285714281</v>
      </c>
      <c r="C58" s="25" t="s">
        <v>1</v>
      </c>
      <c r="D58" s="26" t="s">
        <v>2</v>
      </c>
      <c r="E58" s="25" t="s">
        <v>1</v>
      </c>
      <c r="F58" s="26" t="s">
        <v>3</v>
      </c>
      <c r="G58" s="25" t="s">
        <v>1</v>
      </c>
      <c r="H58" s="26" t="s">
        <v>4</v>
      </c>
      <c r="I58" s="25" t="s">
        <v>1</v>
      </c>
      <c r="J58" s="26" t="s">
        <v>5</v>
      </c>
      <c r="K58" s="25" t="s">
        <v>1</v>
      </c>
      <c r="L58" s="26" t="s">
        <v>6</v>
      </c>
      <c r="M58" s="25" t="s">
        <v>1</v>
      </c>
      <c r="N58" s="26" t="s">
        <v>7</v>
      </c>
      <c r="O58" s="25" t="s">
        <v>1</v>
      </c>
      <c r="P58" s="26" t="s">
        <v>8</v>
      </c>
      <c r="Q58" s="28" t="s">
        <v>9</v>
      </c>
      <c r="R58" s="29" t="s">
        <v>3</v>
      </c>
      <c r="S58" s="28" t="s">
        <v>9</v>
      </c>
      <c r="T58" s="29" t="s">
        <v>10</v>
      </c>
      <c r="U58" s="28" t="s">
        <v>9</v>
      </c>
      <c r="V58" s="29" t="s">
        <v>11</v>
      </c>
      <c r="W58" s="28" t="s">
        <v>9</v>
      </c>
      <c r="X58" s="29" t="s">
        <v>6</v>
      </c>
      <c r="Y58" s="28" t="s">
        <v>9</v>
      </c>
      <c r="Z58" s="29" t="s">
        <v>7</v>
      </c>
      <c r="AA58" s="28" t="s">
        <v>9</v>
      </c>
      <c r="AB58" s="29" t="s">
        <v>8</v>
      </c>
      <c r="AC58" s="28" t="s">
        <v>3</v>
      </c>
      <c r="AD58" s="29" t="s">
        <v>10</v>
      </c>
      <c r="AE58" s="28" t="s">
        <v>3</v>
      </c>
      <c r="AF58" s="29" t="s">
        <v>11</v>
      </c>
      <c r="AG58" s="28" t="s">
        <v>3</v>
      </c>
      <c r="AH58" s="29" t="s">
        <v>6</v>
      </c>
      <c r="AI58" s="28" t="s">
        <v>3</v>
      </c>
      <c r="AJ58" s="29" t="s">
        <v>7</v>
      </c>
      <c r="AK58" s="28" t="s">
        <v>3</v>
      </c>
      <c r="AL58" s="29" t="s">
        <v>8</v>
      </c>
      <c r="AM58" s="28" t="s">
        <v>10</v>
      </c>
      <c r="AN58" s="29" t="s">
        <v>11</v>
      </c>
      <c r="AO58" s="28" t="s">
        <v>10</v>
      </c>
      <c r="AP58" s="29" t="s">
        <v>6</v>
      </c>
      <c r="AQ58" s="28" t="s">
        <v>10</v>
      </c>
      <c r="AR58" s="29" t="s">
        <v>7</v>
      </c>
      <c r="AS58" s="28" t="s">
        <v>10</v>
      </c>
      <c r="AT58" s="29" t="s">
        <v>8</v>
      </c>
      <c r="AU58" s="28" t="s">
        <v>11</v>
      </c>
      <c r="AV58" s="29" t="s">
        <v>6</v>
      </c>
      <c r="AW58" s="28" t="s">
        <v>11</v>
      </c>
      <c r="AX58" s="29" t="s">
        <v>7</v>
      </c>
      <c r="AY58" s="28" t="s">
        <v>11</v>
      </c>
      <c r="AZ58" s="29" t="s">
        <v>8</v>
      </c>
      <c r="BA58" s="28" t="s">
        <v>6</v>
      </c>
      <c r="BB58" s="29" t="s">
        <v>7</v>
      </c>
      <c r="BC58" s="28" t="s">
        <v>6</v>
      </c>
      <c r="BD58" s="29" t="s">
        <v>8</v>
      </c>
      <c r="BE58" s="28" t="s">
        <v>7</v>
      </c>
      <c r="BF58" s="29" t="s">
        <v>8</v>
      </c>
    </row>
    <row r="59" spans="1:58" x14ac:dyDescent="0.25">
      <c r="A59" s="27" t="s">
        <v>12</v>
      </c>
      <c r="B59" s="27" t="s">
        <v>2</v>
      </c>
      <c r="C59">
        <v>95.5</v>
      </c>
      <c r="D59"/>
      <c r="E59">
        <v>94.833299999999994</v>
      </c>
      <c r="F59"/>
      <c r="G59">
        <v>96.166700000000006</v>
      </c>
      <c r="H59"/>
      <c r="I59">
        <v>95.166700000000006</v>
      </c>
      <c r="J59"/>
      <c r="K59">
        <v>95.166700000000006</v>
      </c>
      <c r="L59"/>
      <c r="M59">
        <v>94.666700000000006</v>
      </c>
      <c r="N59"/>
      <c r="O59">
        <v>95.333299999999994</v>
      </c>
      <c r="P59"/>
      <c r="Q59">
        <v>95.333299999999994</v>
      </c>
      <c r="R59"/>
      <c r="S59">
        <v>95.666700000000006</v>
      </c>
      <c r="T59"/>
      <c r="U59">
        <v>96.666700000000006</v>
      </c>
      <c r="V59"/>
      <c r="W59">
        <v>95.333299999999994</v>
      </c>
      <c r="X59"/>
      <c r="Y59">
        <v>95.666700000000006</v>
      </c>
      <c r="Z59"/>
      <c r="AA59">
        <v>95</v>
      </c>
      <c r="AB59"/>
      <c r="AC59">
        <v>95.666700000000006</v>
      </c>
      <c r="AD59"/>
      <c r="AE59">
        <v>96</v>
      </c>
      <c r="AF59"/>
      <c r="AG59">
        <v>96.166700000000006</v>
      </c>
      <c r="AH59"/>
      <c r="AI59">
        <v>94.166700000000006</v>
      </c>
      <c r="AJ59"/>
      <c r="AK59">
        <v>97</v>
      </c>
      <c r="AL59"/>
      <c r="AM59">
        <v>95</v>
      </c>
      <c r="AN59"/>
      <c r="AO59">
        <v>96.5</v>
      </c>
      <c r="AP59"/>
      <c r="AQ59">
        <v>96.166700000000006</v>
      </c>
      <c r="AR59"/>
      <c r="AS59">
        <v>96</v>
      </c>
      <c r="AT59"/>
      <c r="AU59">
        <v>94.5</v>
      </c>
      <c r="AV59"/>
      <c r="AW59">
        <v>95.5</v>
      </c>
      <c r="AX59"/>
      <c r="AY59">
        <v>94.833299999999994</v>
      </c>
      <c r="AZ59"/>
      <c r="BA59">
        <v>95.333299999999994</v>
      </c>
      <c r="BB59"/>
      <c r="BC59">
        <v>94.5</v>
      </c>
      <c r="BD59"/>
      <c r="BE59">
        <v>95.833299999999994</v>
      </c>
      <c r="BF59" s="26"/>
    </row>
    <row r="60" spans="1:58" x14ac:dyDescent="0.25">
      <c r="B60" s="26">
        <f>AVERAGE(C59,E59,G59,I59,K59,M59,O59,Q59,S59,U59,W59,Y59,AA59,AC59,AE59,AG59,AI59,AK59,AM59,AO59,AQ59,AS59,AU59,AW59,AY59,BA59,BC59,BE59)</f>
        <v>95.488099999999989</v>
      </c>
      <c r="C60" s="25" t="s">
        <v>1</v>
      </c>
      <c r="D60" s="26" t="s">
        <v>2</v>
      </c>
      <c r="E60" s="25" t="s">
        <v>1</v>
      </c>
      <c r="F60" s="26" t="s">
        <v>3</v>
      </c>
      <c r="G60" s="25" t="s">
        <v>1</v>
      </c>
      <c r="H60" s="26" t="s">
        <v>4</v>
      </c>
      <c r="I60" s="25" t="s">
        <v>1</v>
      </c>
      <c r="J60" s="26" t="s">
        <v>5</v>
      </c>
      <c r="K60" s="25" t="s">
        <v>1</v>
      </c>
      <c r="L60" s="26" t="s">
        <v>6</v>
      </c>
      <c r="M60" s="25" t="s">
        <v>1</v>
      </c>
      <c r="N60" s="26" t="s">
        <v>7</v>
      </c>
      <c r="O60" s="25" t="s">
        <v>1</v>
      </c>
      <c r="P60" s="26" t="s">
        <v>8</v>
      </c>
      <c r="Q60" s="28" t="s">
        <v>9</v>
      </c>
      <c r="R60" s="29" t="s">
        <v>3</v>
      </c>
      <c r="S60" s="28" t="s">
        <v>9</v>
      </c>
      <c r="T60" s="29" t="s">
        <v>10</v>
      </c>
      <c r="U60" s="28" t="s">
        <v>9</v>
      </c>
      <c r="V60" s="29" t="s">
        <v>11</v>
      </c>
      <c r="W60" s="28" t="s">
        <v>9</v>
      </c>
      <c r="X60" s="29" t="s">
        <v>6</v>
      </c>
      <c r="Y60" s="28" t="s">
        <v>9</v>
      </c>
      <c r="Z60" s="29" t="s">
        <v>7</v>
      </c>
      <c r="AA60" s="28" t="s">
        <v>9</v>
      </c>
      <c r="AB60" s="29" t="s">
        <v>8</v>
      </c>
      <c r="AC60" s="28" t="s">
        <v>3</v>
      </c>
      <c r="AD60" s="29" t="s">
        <v>10</v>
      </c>
      <c r="AE60" s="28" t="s">
        <v>3</v>
      </c>
      <c r="AF60" s="29" t="s">
        <v>11</v>
      </c>
      <c r="AG60" s="28" t="s">
        <v>3</v>
      </c>
      <c r="AH60" s="29" t="s">
        <v>6</v>
      </c>
      <c r="AI60" s="28" t="s">
        <v>3</v>
      </c>
      <c r="AJ60" s="29" t="s">
        <v>7</v>
      </c>
      <c r="AK60" s="28" t="s">
        <v>3</v>
      </c>
      <c r="AL60" s="29" t="s">
        <v>8</v>
      </c>
      <c r="AM60" s="28" t="s">
        <v>10</v>
      </c>
      <c r="AN60" s="29" t="s">
        <v>11</v>
      </c>
      <c r="AO60" s="28" t="s">
        <v>10</v>
      </c>
      <c r="AP60" s="29" t="s">
        <v>6</v>
      </c>
      <c r="AQ60" s="28" t="s">
        <v>10</v>
      </c>
      <c r="AR60" s="29" t="s">
        <v>7</v>
      </c>
      <c r="AS60" s="28" t="s">
        <v>10</v>
      </c>
      <c r="AT60" s="29" t="s">
        <v>8</v>
      </c>
      <c r="AU60" s="28" t="s">
        <v>11</v>
      </c>
      <c r="AV60" s="29" t="s">
        <v>6</v>
      </c>
      <c r="AW60" s="28" t="s">
        <v>11</v>
      </c>
      <c r="AX60" s="29" t="s">
        <v>7</v>
      </c>
      <c r="AY60" s="28" t="s">
        <v>11</v>
      </c>
      <c r="AZ60" s="29" t="s">
        <v>8</v>
      </c>
      <c r="BA60" s="28" t="s">
        <v>6</v>
      </c>
      <c r="BB60" s="29" t="s">
        <v>7</v>
      </c>
      <c r="BC60" s="28" t="s">
        <v>6</v>
      </c>
      <c r="BD60" s="29" t="s">
        <v>8</v>
      </c>
      <c r="BE60" s="28" t="s">
        <v>7</v>
      </c>
      <c r="BF60" s="29" t="s">
        <v>8</v>
      </c>
    </row>
    <row r="61" spans="1:58" x14ac:dyDescent="0.25">
      <c r="A61" s="27" t="s">
        <v>12</v>
      </c>
      <c r="B61" s="27" t="s">
        <v>3</v>
      </c>
      <c r="C61">
        <v>98.166700000000006</v>
      </c>
      <c r="D61"/>
      <c r="E61">
        <v>97.333299999999994</v>
      </c>
      <c r="F61"/>
      <c r="G61">
        <v>98.166700000000006</v>
      </c>
      <c r="H61"/>
      <c r="I61">
        <v>97.666700000000006</v>
      </c>
      <c r="J61"/>
      <c r="K61">
        <v>98.166700000000006</v>
      </c>
      <c r="L61"/>
      <c r="M61">
        <v>97.166700000000006</v>
      </c>
      <c r="N61"/>
      <c r="O61">
        <v>97.666700000000006</v>
      </c>
      <c r="P61"/>
      <c r="Q61">
        <v>98.166700000000006</v>
      </c>
      <c r="R61"/>
      <c r="S61">
        <v>97.666700000000006</v>
      </c>
      <c r="T61"/>
      <c r="U61">
        <v>98.166700000000006</v>
      </c>
      <c r="V61"/>
      <c r="W61">
        <v>98</v>
      </c>
      <c r="X61"/>
      <c r="Y61">
        <v>98</v>
      </c>
      <c r="Z61"/>
      <c r="AA61">
        <v>98.5</v>
      </c>
      <c r="AB61"/>
      <c r="AC61">
        <v>97.166700000000006</v>
      </c>
      <c r="AD61"/>
      <c r="AE61">
        <v>97.166700000000006</v>
      </c>
      <c r="AF61"/>
      <c r="AG61">
        <v>98</v>
      </c>
      <c r="AH61"/>
      <c r="AI61">
        <v>96.833299999999994</v>
      </c>
      <c r="AJ61"/>
      <c r="AK61">
        <v>97.333299999999994</v>
      </c>
      <c r="AL61"/>
      <c r="AM61">
        <v>97.833299999999994</v>
      </c>
      <c r="AN61"/>
      <c r="AO61">
        <v>98.166700000000006</v>
      </c>
      <c r="AP61"/>
      <c r="AQ61">
        <v>97.166700000000006</v>
      </c>
      <c r="AR61"/>
      <c r="AS61">
        <v>97.5</v>
      </c>
      <c r="AT61"/>
      <c r="AU61">
        <v>97.5</v>
      </c>
      <c r="AV61"/>
      <c r="AW61">
        <v>97.5</v>
      </c>
      <c r="AX61"/>
      <c r="AY61">
        <v>97.833299999999994</v>
      </c>
      <c r="AZ61"/>
      <c r="BA61">
        <v>97.333299999999994</v>
      </c>
      <c r="BB61"/>
      <c r="BC61">
        <v>98.5</v>
      </c>
      <c r="BD61"/>
      <c r="BE61">
        <v>98.333299999999994</v>
      </c>
      <c r="BF61" s="26"/>
    </row>
    <row r="62" spans="1:58" x14ac:dyDescent="0.25">
      <c r="B62" s="26">
        <f>AVERAGE(C61,E61,G61,I61,K61,M61,O61,Q61,S61,U61,W61,Y61,AA61,AC61,AE61,AG61,AI61,AK61,AM61,AO61,AQ61,AS61,AU61,AW61,AY61,BA61,BC61,BE61)</f>
        <v>97.750007142857129</v>
      </c>
      <c r="C62" s="25" t="s">
        <v>1</v>
      </c>
      <c r="D62" s="26" t="s">
        <v>2</v>
      </c>
      <c r="E62" s="25" t="s">
        <v>1</v>
      </c>
      <c r="F62" s="26" t="s">
        <v>3</v>
      </c>
      <c r="G62" s="25" t="s">
        <v>1</v>
      </c>
      <c r="H62" s="26" t="s">
        <v>4</v>
      </c>
      <c r="I62" s="25" t="s">
        <v>1</v>
      </c>
      <c r="J62" s="26" t="s">
        <v>5</v>
      </c>
      <c r="K62" s="25" t="s">
        <v>1</v>
      </c>
      <c r="L62" s="26" t="s">
        <v>6</v>
      </c>
      <c r="M62" s="25" t="s">
        <v>1</v>
      </c>
      <c r="N62" s="26" t="s">
        <v>7</v>
      </c>
      <c r="O62" s="25" t="s">
        <v>1</v>
      </c>
      <c r="P62" s="26" t="s">
        <v>8</v>
      </c>
      <c r="Q62" s="28" t="s">
        <v>9</v>
      </c>
      <c r="R62" s="29" t="s">
        <v>3</v>
      </c>
      <c r="S62" s="28" t="s">
        <v>9</v>
      </c>
      <c r="T62" s="29" t="s">
        <v>10</v>
      </c>
      <c r="U62" s="28" t="s">
        <v>9</v>
      </c>
      <c r="V62" s="29" t="s">
        <v>11</v>
      </c>
      <c r="W62" s="28" t="s">
        <v>9</v>
      </c>
      <c r="X62" s="29" t="s">
        <v>6</v>
      </c>
      <c r="Y62" s="28" t="s">
        <v>9</v>
      </c>
      <c r="Z62" s="29" t="s">
        <v>7</v>
      </c>
      <c r="AA62" s="28" t="s">
        <v>9</v>
      </c>
      <c r="AB62" s="29" t="s">
        <v>8</v>
      </c>
      <c r="AC62" s="28" t="s">
        <v>3</v>
      </c>
      <c r="AD62" s="29" t="s">
        <v>10</v>
      </c>
      <c r="AE62" s="28" t="s">
        <v>3</v>
      </c>
      <c r="AF62" s="29" t="s">
        <v>11</v>
      </c>
      <c r="AG62" s="28" t="s">
        <v>3</v>
      </c>
      <c r="AH62" s="29" t="s">
        <v>6</v>
      </c>
      <c r="AI62" s="28" t="s">
        <v>3</v>
      </c>
      <c r="AJ62" s="29" t="s">
        <v>7</v>
      </c>
      <c r="AK62" s="28" t="s">
        <v>3</v>
      </c>
      <c r="AL62" s="29" t="s">
        <v>8</v>
      </c>
      <c r="AM62" s="28" t="s">
        <v>10</v>
      </c>
      <c r="AN62" s="29" t="s">
        <v>11</v>
      </c>
      <c r="AO62" s="28" t="s">
        <v>10</v>
      </c>
      <c r="AP62" s="29" t="s">
        <v>6</v>
      </c>
      <c r="AQ62" s="28" t="s">
        <v>10</v>
      </c>
      <c r="AR62" s="29" t="s">
        <v>7</v>
      </c>
      <c r="AS62" s="28" t="s">
        <v>10</v>
      </c>
      <c r="AT62" s="29" t="s">
        <v>8</v>
      </c>
      <c r="AU62" s="28" t="s">
        <v>11</v>
      </c>
      <c r="AV62" s="29" t="s">
        <v>6</v>
      </c>
      <c r="AW62" s="28" t="s">
        <v>11</v>
      </c>
      <c r="AX62" s="29" t="s">
        <v>7</v>
      </c>
      <c r="AY62" s="28" t="s">
        <v>11</v>
      </c>
      <c r="AZ62" s="29" t="s">
        <v>8</v>
      </c>
      <c r="BA62" s="28" t="s">
        <v>6</v>
      </c>
      <c r="BB62" s="29" t="s">
        <v>7</v>
      </c>
      <c r="BC62" s="28" t="s">
        <v>6</v>
      </c>
      <c r="BD62" s="29" t="s">
        <v>8</v>
      </c>
      <c r="BE62" s="28" t="s">
        <v>7</v>
      </c>
      <c r="BF62" s="29" t="s">
        <v>8</v>
      </c>
    </row>
    <row r="63" spans="1:58" x14ac:dyDescent="0.25">
      <c r="A63" s="27" t="s">
        <v>12</v>
      </c>
      <c r="B63" s="27" t="s">
        <v>4</v>
      </c>
      <c r="C63">
        <v>75.5</v>
      </c>
      <c r="D63"/>
      <c r="E63">
        <v>75.333299999999994</v>
      </c>
      <c r="F63"/>
      <c r="G63">
        <v>76.833299999999994</v>
      </c>
      <c r="H63"/>
      <c r="I63">
        <v>74.5</v>
      </c>
      <c r="J63"/>
      <c r="K63">
        <v>78.333299999999994</v>
      </c>
      <c r="L63"/>
      <c r="M63">
        <v>74.166700000000006</v>
      </c>
      <c r="N63"/>
      <c r="O63">
        <v>74.5</v>
      </c>
      <c r="P63"/>
      <c r="Q63">
        <v>74.833299999999994</v>
      </c>
      <c r="R63"/>
      <c r="S63">
        <v>74.5</v>
      </c>
      <c r="T63"/>
      <c r="U63">
        <v>71.166700000000006</v>
      </c>
      <c r="V63"/>
      <c r="W63">
        <v>75.333299999999994</v>
      </c>
      <c r="X63"/>
      <c r="Y63">
        <v>75.333299999999994</v>
      </c>
      <c r="Z63"/>
      <c r="AA63">
        <v>75.833299999999994</v>
      </c>
      <c r="AB63"/>
      <c r="AC63">
        <v>78.666700000000006</v>
      </c>
      <c r="AD63"/>
      <c r="AE63">
        <v>75.5</v>
      </c>
      <c r="AF63"/>
      <c r="AG63">
        <v>75.166700000000006</v>
      </c>
      <c r="AH63"/>
      <c r="AI63">
        <v>78.666700000000006</v>
      </c>
      <c r="AJ63"/>
      <c r="AK63">
        <v>75.5</v>
      </c>
      <c r="AL63"/>
      <c r="AM63">
        <v>75.333299999999994</v>
      </c>
      <c r="AN63"/>
      <c r="AO63">
        <v>74.5</v>
      </c>
      <c r="AP63"/>
      <c r="AQ63">
        <v>77.333299999999994</v>
      </c>
      <c r="AR63"/>
      <c r="AS63">
        <v>75.166700000000006</v>
      </c>
      <c r="AT63"/>
      <c r="AU63">
        <v>74.666700000000006</v>
      </c>
      <c r="AV63"/>
      <c r="AW63">
        <v>76</v>
      </c>
      <c r="AX63"/>
      <c r="AY63">
        <v>71.333299999999994</v>
      </c>
      <c r="AZ63"/>
      <c r="BA63">
        <v>75</v>
      </c>
      <c r="BB63"/>
      <c r="BC63">
        <v>75.166700000000006</v>
      </c>
      <c r="BD63"/>
      <c r="BE63">
        <v>73.5</v>
      </c>
      <c r="BF63" s="26"/>
    </row>
    <row r="64" spans="1:58" x14ac:dyDescent="0.25">
      <c r="B64" s="26">
        <f>AVERAGE(C63,E63,G63,I63,K63,M63,O63,Q63,S63,U63,W63,Y63,AA63,AC63,AE63,AG63,AI63,AK63,AM63,AO63,AQ63,AS63,AU63,AW63,AY63,BA63,BC63,BE63)</f>
        <v>75.273807142857137</v>
      </c>
      <c r="C64" s="25" t="s">
        <v>1</v>
      </c>
      <c r="D64" s="26" t="s">
        <v>2</v>
      </c>
      <c r="E64" s="25" t="s">
        <v>1</v>
      </c>
      <c r="F64" s="26" t="s">
        <v>3</v>
      </c>
      <c r="G64" s="25" t="s">
        <v>1</v>
      </c>
      <c r="H64" s="26" t="s">
        <v>4</v>
      </c>
      <c r="I64" s="25" t="s">
        <v>1</v>
      </c>
      <c r="J64" s="26" t="s">
        <v>5</v>
      </c>
      <c r="K64" s="25" t="s">
        <v>1</v>
      </c>
      <c r="L64" s="26" t="s">
        <v>6</v>
      </c>
      <c r="M64" s="25" t="s">
        <v>1</v>
      </c>
      <c r="N64" s="26" t="s">
        <v>7</v>
      </c>
      <c r="O64" s="25" t="s">
        <v>1</v>
      </c>
      <c r="P64" s="26" t="s">
        <v>8</v>
      </c>
      <c r="Q64" s="28" t="s">
        <v>9</v>
      </c>
      <c r="R64" s="29" t="s">
        <v>3</v>
      </c>
      <c r="S64" s="28" t="s">
        <v>9</v>
      </c>
      <c r="T64" s="29" t="s">
        <v>10</v>
      </c>
      <c r="U64" s="28" t="s">
        <v>9</v>
      </c>
      <c r="V64" s="29" t="s">
        <v>11</v>
      </c>
      <c r="W64" s="28" t="s">
        <v>9</v>
      </c>
      <c r="X64" s="29" t="s">
        <v>6</v>
      </c>
      <c r="Y64" s="28" t="s">
        <v>9</v>
      </c>
      <c r="Z64" s="29" t="s">
        <v>7</v>
      </c>
      <c r="AA64" s="28" t="s">
        <v>9</v>
      </c>
      <c r="AB64" s="29" t="s">
        <v>8</v>
      </c>
      <c r="AC64" s="28" t="s">
        <v>3</v>
      </c>
      <c r="AD64" s="29" t="s">
        <v>10</v>
      </c>
      <c r="AE64" s="28" t="s">
        <v>3</v>
      </c>
      <c r="AF64" s="29" t="s">
        <v>11</v>
      </c>
      <c r="AG64" s="28" t="s">
        <v>3</v>
      </c>
      <c r="AH64" s="29" t="s">
        <v>6</v>
      </c>
      <c r="AI64" s="28" t="s">
        <v>3</v>
      </c>
      <c r="AJ64" s="29" t="s">
        <v>7</v>
      </c>
      <c r="AK64" s="28" t="s">
        <v>3</v>
      </c>
      <c r="AL64" s="29" t="s">
        <v>8</v>
      </c>
      <c r="AM64" s="28" t="s">
        <v>10</v>
      </c>
      <c r="AN64" s="29" t="s">
        <v>11</v>
      </c>
      <c r="AO64" s="28" t="s">
        <v>10</v>
      </c>
      <c r="AP64" s="29" t="s">
        <v>6</v>
      </c>
      <c r="AQ64" s="28" t="s">
        <v>10</v>
      </c>
      <c r="AR64" s="29" t="s">
        <v>7</v>
      </c>
      <c r="AS64" s="28" t="s">
        <v>10</v>
      </c>
      <c r="AT64" s="29" t="s">
        <v>8</v>
      </c>
      <c r="AU64" s="28" t="s">
        <v>11</v>
      </c>
      <c r="AV64" s="29" t="s">
        <v>6</v>
      </c>
      <c r="AW64" s="28" t="s">
        <v>11</v>
      </c>
      <c r="AX64" s="29" t="s">
        <v>7</v>
      </c>
      <c r="AY64" s="28" t="s">
        <v>11</v>
      </c>
      <c r="AZ64" s="29" t="s">
        <v>8</v>
      </c>
      <c r="BA64" s="28" t="s">
        <v>6</v>
      </c>
      <c r="BB64" s="29" t="s">
        <v>7</v>
      </c>
      <c r="BC64" s="28" t="s">
        <v>6</v>
      </c>
      <c r="BD64" s="29" t="s">
        <v>8</v>
      </c>
      <c r="BE64" s="28" t="s">
        <v>7</v>
      </c>
      <c r="BF64" s="29" t="s">
        <v>8</v>
      </c>
    </row>
    <row r="65" spans="1:58" x14ac:dyDescent="0.25">
      <c r="A65" s="27" t="s">
        <v>12</v>
      </c>
      <c r="B65" s="27" t="s">
        <v>5</v>
      </c>
      <c r="C65">
        <v>94.833299999999994</v>
      </c>
      <c r="D65"/>
      <c r="E65">
        <v>95.166700000000006</v>
      </c>
      <c r="F65"/>
      <c r="G65">
        <v>96.333299999999994</v>
      </c>
      <c r="H65"/>
      <c r="I65">
        <v>95.5</v>
      </c>
      <c r="J65"/>
      <c r="K65">
        <v>94.833299999999994</v>
      </c>
      <c r="L65"/>
      <c r="M65">
        <v>94.666700000000006</v>
      </c>
      <c r="N65"/>
      <c r="O65">
        <v>94.5</v>
      </c>
      <c r="P65"/>
      <c r="Q65">
        <v>95</v>
      </c>
      <c r="R65"/>
      <c r="S65">
        <v>94.833299999999994</v>
      </c>
      <c r="T65"/>
      <c r="U65">
        <v>96.333299999999994</v>
      </c>
      <c r="V65"/>
      <c r="W65">
        <v>95.5</v>
      </c>
      <c r="X65"/>
      <c r="Y65">
        <v>94.833299999999994</v>
      </c>
      <c r="Z65"/>
      <c r="AA65">
        <v>95.166700000000006</v>
      </c>
      <c r="AB65"/>
      <c r="AC65">
        <v>95</v>
      </c>
      <c r="AD65"/>
      <c r="AE65">
        <v>95.666700000000006</v>
      </c>
      <c r="AF65"/>
      <c r="AG65">
        <v>95.333299999999994</v>
      </c>
      <c r="AH65"/>
      <c r="AI65">
        <v>94.166700000000006</v>
      </c>
      <c r="AJ65"/>
      <c r="AK65">
        <v>94.333299999999994</v>
      </c>
      <c r="AL65"/>
      <c r="AM65">
        <v>94.833299999999994</v>
      </c>
      <c r="AN65"/>
      <c r="AO65">
        <v>95.166700000000006</v>
      </c>
      <c r="AP65"/>
      <c r="AQ65">
        <v>96.166700000000006</v>
      </c>
      <c r="AR65"/>
      <c r="AS65">
        <v>95.833299999999994</v>
      </c>
      <c r="AT65"/>
      <c r="AU65">
        <v>96</v>
      </c>
      <c r="AV65"/>
      <c r="AW65">
        <v>95</v>
      </c>
      <c r="AX65"/>
      <c r="AY65">
        <v>94.833299999999994</v>
      </c>
      <c r="AZ65"/>
      <c r="BA65">
        <v>95.666700000000006</v>
      </c>
      <c r="BB65"/>
      <c r="BC65">
        <v>96</v>
      </c>
      <c r="BD65"/>
      <c r="BE65">
        <v>95.833299999999994</v>
      </c>
      <c r="BF65" s="26"/>
    </row>
    <row r="66" spans="1:58" x14ac:dyDescent="0.25">
      <c r="B66" s="26">
        <f>AVERAGE(C65,E65,G65,I65,K65,M65,O65,Q65,S65,U65,W65,Y65,AA65,AC65,AE65,AG65,AI65,AK65,AM65,AO65,AQ65,AS65,AU65,AW65,AY65,BA65,BC65,BE65)</f>
        <v>95.261899999999983</v>
      </c>
      <c r="C66" s="25" t="s">
        <v>1</v>
      </c>
      <c r="D66" s="26" t="s">
        <v>2</v>
      </c>
      <c r="E66" s="25" t="s">
        <v>1</v>
      </c>
      <c r="F66" s="26" t="s">
        <v>3</v>
      </c>
      <c r="G66" s="25" t="s">
        <v>1</v>
      </c>
      <c r="H66" s="26" t="s">
        <v>4</v>
      </c>
      <c r="I66" s="25" t="s">
        <v>1</v>
      </c>
      <c r="J66" s="26" t="s">
        <v>5</v>
      </c>
      <c r="K66" s="25" t="s">
        <v>1</v>
      </c>
      <c r="L66" s="26" t="s">
        <v>6</v>
      </c>
      <c r="M66" s="25" t="s">
        <v>1</v>
      </c>
      <c r="N66" s="26" t="s">
        <v>7</v>
      </c>
      <c r="O66" s="25" t="s">
        <v>1</v>
      </c>
      <c r="P66" s="26" t="s">
        <v>8</v>
      </c>
      <c r="Q66" s="28" t="s">
        <v>9</v>
      </c>
      <c r="R66" s="29" t="s">
        <v>3</v>
      </c>
      <c r="S66" s="28" t="s">
        <v>9</v>
      </c>
      <c r="T66" s="29" t="s">
        <v>10</v>
      </c>
      <c r="U66" s="28" t="s">
        <v>9</v>
      </c>
      <c r="V66" s="29" t="s">
        <v>11</v>
      </c>
      <c r="W66" s="28" t="s">
        <v>9</v>
      </c>
      <c r="X66" s="29" t="s">
        <v>6</v>
      </c>
      <c r="Y66" s="28" t="s">
        <v>9</v>
      </c>
      <c r="Z66" s="29" t="s">
        <v>7</v>
      </c>
      <c r="AA66" s="28" t="s">
        <v>9</v>
      </c>
      <c r="AB66" s="29" t="s">
        <v>8</v>
      </c>
      <c r="AC66" s="28" t="s">
        <v>3</v>
      </c>
      <c r="AD66" s="29" t="s">
        <v>10</v>
      </c>
      <c r="AE66" s="28" t="s">
        <v>3</v>
      </c>
      <c r="AF66" s="29" t="s">
        <v>11</v>
      </c>
      <c r="AG66" s="28" t="s">
        <v>3</v>
      </c>
      <c r="AH66" s="29" t="s">
        <v>6</v>
      </c>
      <c r="AI66" s="28" t="s">
        <v>3</v>
      </c>
      <c r="AJ66" s="29" t="s">
        <v>7</v>
      </c>
      <c r="AK66" s="28" t="s">
        <v>3</v>
      </c>
      <c r="AL66" s="29" t="s">
        <v>8</v>
      </c>
      <c r="AM66" s="28" t="s">
        <v>10</v>
      </c>
      <c r="AN66" s="29" t="s">
        <v>11</v>
      </c>
      <c r="AO66" s="28" t="s">
        <v>10</v>
      </c>
      <c r="AP66" s="29" t="s">
        <v>6</v>
      </c>
      <c r="AQ66" s="28" t="s">
        <v>10</v>
      </c>
      <c r="AR66" s="29" t="s">
        <v>7</v>
      </c>
      <c r="AS66" s="28" t="s">
        <v>10</v>
      </c>
      <c r="AT66" s="29" t="s">
        <v>8</v>
      </c>
      <c r="AU66" s="28" t="s">
        <v>11</v>
      </c>
      <c r="AV66" s="29" t="s">
        <v>6</v>
      </c>
      <c r="AW66" s="28" t="s">
        <v>11</v>
      </c>
      <c r="AX66" s="29" t="s">
        <v>7</v>
      </c>
      <c r="AY66" s="28" t="s">
        <v>11</v>
      </c>
      <c r="AZ66" s="29" t="s">
        <v>8</v>
      </c>
      <c r="BA66" s="28" t="s">
        <v>6</v>
      </c>
      <c r="BB66" s="29" t="s">
        <v>7</v>
      </c>
      <c r="BC66" s="28" t="s">
        <v>6</v>
      </c>
      <c r="BD66" s="29" t="s">
        <v>8</v>
      </c>
      <c r="BE66" s="28" t="s">
        <v>7</v>
      </c>
      <c r="BF66" s="29" t="s">
        <v>8</v>
      </c>
    </row>
    <row r="67" spans="1:58" x14ac:dyDescent="0.25">
      <c r="A67" s="27" t="s">
        <v>12</v>
      </c>
      <c r="B67" s="27" t="s">
        <v>6</v>
      </c>
      <c r="C67">
        <v>99.333299999999994</v>
      </c>
      <c r="D67"/>
      <c r="E67">
        <v>99.333299999999994</v>
      </c>
      <c r="F67"/>
      <c r="G67">
        <v>98.5</v>
      </c>
      <c r="H67"/>
      <c r="I67">
        <v>99.833299999999994</v>
      </c>
      <c r="J67"/>
      <c r="K67">
        <v>98.833299999999994</v>
      </c>
      <c r="L67"/>
      <c r="M67">
        <v>99.833299999999994</v>
      </c>
      <c r="N67"/>
      <c r="O67">
        <v>98.333299999999994</v>
      </c>
      <c r="P67"/>
      <c r="Q67">
        <v>98.166700000000006</v>
      </c>
      <c r="R67"/>
      <c r="S67">
        <v>98.5</v>
      </c>
      <c r="T67"/>
      <c r="U67">
        <v>99.333299999999994</v>
      </c>
      <c r="V67"/>
      <c r="W67">
        <v>99.666700000000006</v>
      </c>
      <c r="X67"/>
      <c r="Y67">
        <v>98.833299999999994</v>
      </c>
      <c r="Z67"/>
      <c r="AA67">
        <v>98.833299999999994</v>
      </c>
      <c r="AB67"/>
      <c r="AC67">
        <v>98.833299999999994</v>
      </c>
      <c r="AD67"/>
      <c r="AE67">
        <v>98.833299999999994</v>
      </c>
      <c r="AF67"/>
      <c r="AG67">
        <v>99.666700000000006</v>
      </c>
      <c r="AH67"/>
      <c r="AI67">
        <v>99.333299999999994</v>
      </c>
      <c r="AJ67"/>
      <c r="AK67">
        <v>99.666700000000006</v>
      </c>
      <c r="AL67"/>
      <c r="AM67">
        <v>98.5</v>
      </c>
      <c r="AN67"/>
      <c r="AO67">
        <v>99.666700000000006</v>
      </c>
      <c r="AP67"/>
      <c r="AQ67">
        <v>98.833299999999994</v>
      </c>
      <c r="AR67"/>
      <c r="AS67">
        <v>99.333299999999994</v>
      </c>
      <c r="AT67"/>
      <c r="AU67">
        <v>99.166700000000006</v>
      </c>
      <c r="AV67"/>
      <c r="AW67">
        <v>99.666700000000006</v>
      </c>
      <c r="AX67"/>
      <c r="AY67">
        <v>99.666700000000006</v>
      </c>
      <c r="AZ67"/>
      <c r="BA67">
        <v>99.166700000000006</v>
      </c>
      <c r="BB67"/>
      <c r="BC67">
        <v>98.666700000000006</v>
      </c>
      <c r="BD67"/>
      <c r="BE67">
        <v>99</v>
      </c>
      <c r="BF67" s="26"/>
    </row>
    <row r="68" spans="1:58" x14ac:dyDescent="0.25">
      <c r="B68" s="26">
        <f>AVERAGE(C67,E67,G67,I67,K67,M67,O67,Q67,S67,U67,W67,Y67,AA67,AC67,AE67,AG67,AI67,AK67,AM67,AO67,AQ67,AS67,AU67,AW67,AY67,BA67,BC67,BE67)</f>
        <v>99.119042857142887</v>
      </c>
      <c r="C68" s="25" t="s">
        <v>1</v>
      </c>
      <c r="D68" s="26" t="s">
        <v>2</v>
      </c>
      <c r="E68" s="25" t="s">
        <v>1</v>
      </c>
      <c r="F68" s="26" t="s">
        <v>3</v>
      </c>
      <c r="G68" s="25" t="s">
        <v>1</v>
      </c>
      <c r="H68" s="26" t="s">
        <v>4</v>
      </c>
      <c r="I68" s="25" t="s">
        <v>1</v>
      </c>
      <c r="J68" s="26" t="s">
        <v>5</v>
      </c>
      <c r="K68" s="25" t="s">
        <v>1</v>
      </c>
      <c r="L68" s="26" t="s">
        <v>6</v>
      </c>
      <c r="M68" s="25" t="s">
        <v>1</v>
      </c>
      <c r="N68" s="26" t="s">
        <v>7</v>
      </c>
      <c r="O68" s="25" t="s">
        <v>1</v>
      </c>
      <c r="P68" s="26" t="s">
        <v>8</v>
      </c>
      <c r="Q68" s="28" t="s">
        <v>9</v>
      </c>
      <c r="R68" s="29" t="s">
        <v>3</v>
      </c>
      <c r="S68" s="28" t="s">
        <v>9</v>
      </c>
      <c r="T68" s="29" t="s">
        <v>10</v>
      </c>
      <c r="U68" s="28" t="s">
        <v>9</v>
      </c>
      <c r="V68" s="29" t="s">
        <v>11</v>
      </c>
      <c r="W68" s="28" t="s">
        <v>9</v>
      </c>
      <c r="X68" s="29" t="s">
        <v>6</v>
      </c>
      <c r="Y68" s="28" t="s">
        <v>9</v>
      </c>
      <c r="Z68" s="29" t="s">
        <v>7</v>
      </c>
      <c r="AA68" s="28" t="s">
        <v>9</v>
      </c>
      <c r="AB68" s="29" t="s">
        <v>8</v>
      </c>
      <c r="AC68" s="28" t="s">
        <v>3</v>
      </c>
      <c r="AD68" s="29" t="s">
        <v>10</v>
      </c>
      <c r="AE68" s="28" t="s">
        <v>3</v>
      </c>
      <c r="AF68" s="29" t="s">
        <v>11</v>
      </c>
      <c r="AG68" s="28" t="s">
        <v>3</v>
      </c>
      <c r="AH68" s="29" t="s">
        <v>6</v>
      </c>
      <c r="AI68" s="28" t="s">
        <v>3</v>
      </c>
      <c r="AJ68" s="29" t="s">
        <v>7</v>
      </c>
      <c r="AK68" s="28" t="s">
        <v>3</v>
      </c>
      <c r="AL68" s="29" t="s">
        <v>8</v>
      </c>
      <c r="AM68" s="28" t="s">
        <v>10</v>
      </c>
      <c r="AN68" s="29" t="s">
        <v>11</v>
      </c>
      <c r="AO68" s="28" t="s">
        <v>10</v>
      </c>
      <c r="AP68" s="29" t="s">
        <v>6</v>
      </c>
      <c r="AQ68" s="28" t="s">
        <v>10</v>
      </c>
      <c r="AR68" s="29" t="s">
        <v>7</v>
      </c>
      <c r="AS68" s="28" t="s">
        <v>10</v>
      </c>
      <c r="AT68" s="29" t="s">
        <v>8</v>
      </c>
      <c r="AU68" s="28" t="s">
        <v>11</v>
      </c>
      <c r="AV68" s="29" t="s">
        <v>6</v>
      </c>
      <c r="AW68" s="28" t="s">
        <v>11</v>
      </c>
      <c r="AX68" s="29" t="s">
        <v>7</v>
      </c>
      <c r="AY68" s="28" t="s">
        <v>11</v>
      </c>
      <c r="AZ68" s="29" t="s">
        <v>8</v>
      </c>
      <c r="BA68" s="28" t="s">
        <v>6</v>
      </c>
      <c r="BB68" s="29" t="s">
        <v>7</v>
      </c>
      <c r="BC68" s="28" t="s">
        <v>6</v>
      </c>
      <c r="BD68" s="29" t="s">
        <v>8</v>
      </c>
      <c r="BE68" s="28" t="s">
        <v>7</v>
      </c>
      <c r="BF68" s="29" t="s">
        <v>8</v>
      </c>
    </row>
    <row r="69" spans="1:58" x14ac:dyDescent="0.25">
      <c r="A69" s="27" t="s">
        <v>12</v>
      </c>
      <c r="B69" s="27" t="s">
        <v>7</v>
      </c>
      <c r="C69">
        <v>93.666700000000006</v>
      </c>
      <c r="D69"/>
      <c r="E69">
        <v>88.833299999999994</v>
      </c>
      <c r="F69"/>
      <c r="G69">
        <v>92.166700000000006</v>
      </c>
      <c r="H69"/>
      <c r="I69">
        <v>91.833299999999994</v>
      </c>
      <c r="J69"/>
      <c r="K69">
        <v>91.166700000000006</v>
      </c>
      <c r="L69"/>
      <c r="M69">
        <v>91</v>
      </c>
      <c r="N69"/>
      <c r="O69">
        <v>90</v>
      </c>
      <c r="P69"/>
      <c r="Q69">
        <v>90</v>
      </c>
      <c r="R69"/>
      <c r="S69">
        <v>92.833299999999994</v>
      </c>
      <c r="T69"/>
      <c r="U69">
        <v>91.166700000000006</v>
      </c>
      <c r="V69"/>
      <c r="W69">
        <v>90.666700000000006</v>
      </c>
      <c r="X69"/>
      <c r="Y69">
        <v>94</v>
      </c>
      <c r="Z69"/>
      <c r="AA69">
        <v>89.333299999999994</v>
      </c>
      <c r="AB69"/>
      <c r="AC69">
        <v>90.166700000000006</v>
      </c>
      <c r="AD69"/>
      <c r="AE69">
        <v>93</v>
      </c>
      <c r="AF69"/>
      <c r="AG69">
        <v>90.333299999999994</v>
      </c>
      <c r="AH69"/>
      <c r="AI69">
        <v>90.666700000000006</v>
      </c>
      <c r="AJ69"/>
      <c r="AK69">
        <v>91</v>
      </c>
      <c r="AL69"/>
      <c r="AM69">
        <v>91.5</v>
      </c>
      <c r="AN69"/>
      <c r="AO69">
        <v>90</v>
      </c>
      <c r="AP69"/>
      <c r="AQ69">
        <v>93</v>
      </c>
      <c r="AR69"/>
      <c r="AS69">
        <v>91.5</v>
      </c>
      <c r="AT69"/>
      <c r="AU69">
        <v>89.833299999999994</v>
      </c>
      <c r="AV69"/>
      <c r="AW69">
        <v>93.5</v>
      </c>
      <c r="AX69"/>
      <c r="AY69">
        <v>92.166700000000006</v>
      </c>
      <c r="AZ69"/>
      <c r="BA69">
        <v>92.333299999999994</v>
      </c>
      <c r="BB69"/>
      <c r="BC69">
        <v>91.833299999999994</v>
      </c>
      <c r="BD69"/>
      <c r="BE69">
        <v>90.5</v>
      </c>
      <c r="BF69" s="26"/>
    </row>
    <row r="70" spans="1:58" x14ac:dyDescent="0.25">
      <c r="B70" s="26">
        <f>AVERAGE(C69,E69,G69,I69,K69,M69,O69,Q69,S69,U69,W69,Y69,AA69,AC69,AE69,AG69,AI69,AK69,AM69,AO69,AQ69,AS69,AU69,AW69,AY69,BA69,BC69,BE69)</f>
        <v>91.357142857142847</v>
      </c>
      <c r="C70" s="25" t="s">
        <v>1</v>
      </c>
      <c r="D70" s="26" t="s">
        <v>2</v>
      </c>
      <c r="E70" s="25" t="s">
        <v>1</v>
      </c>
      <c r="F70" s="26" t="s">
        <v>3</v>
      </c>
      <c r="G70" s="25" t="s">
        <v>1</v>
      </c>
      <c r="H70" s="26" t="s">
        <v>4</v>
      </c>
      <c r="I70" s="25" t="s">
        <v>1</v>
      </c>
      <c r="J70" s="26" t="s">
        <v>5</v>
      </c>
      <c r="K70" s="25" t="s">
        <v>1</v>
      </c>
      <c r="L70" s="26" t="s">
        <v>6</v>
      </c>
      <c r="M70" s="25" t="s">
        <v>1</v>
      </c>
      <c r="N70" s="26" t="s">
        <v>7</v>
      </c>
      <c r="O70" s="25" t="s">
        <v>1</v>
      </c>
      <c r="P70" s="26" t="s">
        <v>8</v>
      </c>
      <c r="Q70" s="28" t="s">
        <v>9</v>
      </c>
      <c r="R70" s="29" t="s">
        <v>3</v>
      </c>
      <c r="S70" s="28" t="s">
        <v>9</v>
      </c>
      <c r="T70" s="29" t="s">
        <v>10</v>
      </c>
      <c r="U70" s="28" t="s">
        <v>9</v>
      </c>
      <c r="V70" s="29" t="s">
        <v>11</v>
      </c>
      <c r="W70" s="28" t="s">
        <v>9</v>
      </c>
      <c r="X70" s="29" t="s">
        <v>6</v>
      </c>
      <c r="Y70" s="28" t="s">
        <v>9</v>
      </c>
      <c r="Z70" s="29" t="s">
        <v>7</v>
      </c>
      <c r="AA70" s="28" t="s">
        <v>9</v>
      </c>
      <c r="AB70" s="29" t="s">
        <v>8</v>
      </c>
      <c r="AC70" s="28" t="s">
        <v>3</v>
      </c>
      <c r="AD70" s="29" t="s">
        <v>10</v>
      </c>
      <c r="AE70" s="28" t="s">
        <v>3</v>
      </c>
      <c r="AF70" s="29" t="s">
        <v>11</v>
      </c>
      <c r="AG70" s="28" t="s">
        <v>3</v>
      </c>
      <c r="AH70" s="29" t="s">
        <v>6</v>
      </c>
      <c r="AI70" s="28" t="s">
        <v>3</v>
      </c>
      <c r="AJ70" s="29" t="s">
        <v>7</v>
      </c>
      <c r="AK70" s="28" t="s">
        <v>3</v>
      </c>
      <c r="AL70" s="29" t="s">
        <v>8</v>
      </c>
      <c r="AM70" s="28" t="s">
        <v>10</v>
      </c>
      <c r="AN70" s="29" t="s">
        <v>11</v>
      </c>
      <c r="AO70" s="28" t="s">
        <v>10</v>
      </c>
      <c r="AP70" s="29" t="s">
        <v>6</v>
      </c>
      <c r="AQ70" s="28" t="s">
        <v>10</v>
      </c>
      <c r="AR70" s="29" t="s">
        <v>7</v>
      </c>
      <c r="AS70" s="28" t="s">
        <v>10</v>
      </c>
      <c r="AT70" s="29" t="s">
        <v>8</v>
      </c>
      <c r="AU70" s="28" t="s">
        <v>11</v>
      </c>
      <c r="AV70" s="29" t="s">
        <v>6</v>
      </c>
      <c r="AW70" s="28" t="s">
        <v>11</v>
      </c>
      <c r="AX70" s="29" t="s">
        <v>7</v>
      </c>
      <c r="AY70" s="28" t="s">
        <v>11</v>
      </c>
      <c r="AZ70" s="29" t="s">
        <v>8</v>
      </c>
      <c r="BA70" s="28" t="s">
        <v>6</v>
      </c>
      <c r="BB70" s="29" t="s">
        <v>7</v>
      </c>
      <c r="BC70" s="28" t="s">
        <v>6</v>
      </c>
      <c r="BD70" s="29" t="s">
        <v>8</v>
      </c>
      <c r="BE70" s="28" t="s">
        <v>7</v>
      </c>
      <c r="BF70" s="29" t="s">
        <v>8</v>
      </c>
    </row>
    <row r="71" spans="1:58" x14ac:dyDescent="0.25">
      <c r="A71" s="27" t="s">
        <v>12</v>
      </c>
      <c r="B71" s="27" t="s">
        <v>8</v>
      </c>
      <c r="C71">
        <v>88.666700000000006</v>
      </c>
      <c r="D71"/>
      <c r="E71">
        <v>90.666700000000006</v>
      </c>
      <c r="F71"/>
      <c r="G71">
        <v>92.5</v>
      </c>
      <c r="H71"/>
      <c r="I71">
        <v>90.333299999999994</v>
      </c>
      <c r="J71"/>
      <c r="K71">
        <v>90</v>
      </c>
      <c r="L71"/>
      <c r="M71">
        <v>89.833299999999994</v>
      </c>
      <c r="N71"/>
      <c r="O71">
        <v>91</v>
      </c>
      <c r="P71"/>
      <c r="Q71">
        <v>92.333299999999994</v>
      </c>
      <c r="R71"/>
      <c r="S71">
        <v>89.666700000000006</v>
      </c>
      <c r="T71"/>
      <c r="U71">
        <v>92.333299999999994</v>
      </c>
      <c r="V71"/>
      <c r="W71">
        <v>90.333299999999994</v>
      </c>
      <c r="X71"/>
      <c r="Y71">
        <v>90.666700000000006</v>
      </c>
      <c r="Z71"/>
      <c r="AA71">
        <v>91.833299999999994</v>
      </c>
      <c r="AB71"/>
      <c r="AC71">
        <v>90.333299999999994</v>
      </c>
      <c r="AD71"/>
      <c r="AE71">
        <v>89.333299999999994</v>
      </c>
      <c r="AF71"/>
      <c r="AG71">
        <v>91.5</v>
      </c>
      <c r="AH71"/>
      <c r="AI71">
        <v>89.333299999999994</v>
      </c>
      <c r="AJ71"/>
      <c r="AK71">
        <v>90.833299999999994</v>
      </c>
      <c r="AL71"/>
      <c r="AM71">
        <v>91</v>
      </c>
      <c r="AN71"/>
      <c r="AO71">
        <v>91</v>
      </c>
      <c r="AP71"/>
      <c r="AQ71">
        <v>91.5</v>
      </c>
      <c r="AR71"/>
      <c r="AS71">
        <v>91.333299999999994</v>
      </c>
      <c r="AT71"/>
      <c r="AU71">
        <v>91.333299999999994</v>
      </c>
      <c r="AV71"/>
      <c r="AW71">
        <v>90</v>
      </c>
      <c r="AX71"/>
      <c r="AY71">
        <v>90.166700000000006</v>
      </c>
      <c r="AZ71"/>
      <c r="BA71">
        <v>91.166700000000006</v>
      </c>
      <c r="BB71"/>
      <c r="BC71">
        <v>90.333299999999994</v>
      </c>
      <c r="BD71"/>
      <c r="BE71">
        <v>90.166700000000006</v>
      </c>
      <c r="BF71" s="26"/>
    </row>
    <row r="72" spans="1:58" x14ac:dyDescent="0.25">
      <c r="B72" s="26">
        <f>AVERAGE(C71,E71,G71,I71,K71,M71,O71,Q71,S71,U71,W71,Y71,AA71,AC71,AE71,AG71,AI71,AK71,AM71,AO71,AQ71,AS71,AU71,AW71,AY71,BA71,BC71,BE71)</f>
        <v>90.696421428571441</v>
      </c>
    </row>
  </sheetData>
  <mergeCells count="4">
    <mergeCell ref="A1:B2"/>
    <mergeCell ref="A19:B20"/>
    <mergeCell ref="A37:B38"/>
    <mergeCell ref="A55:B56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CFD3C-4C74-4C1C-81E3-76C6BEB6B92D}">
  <dimension ref="A1:AC52"/>
  <sheetViews>
    <sheetView tabSelected="1" topLeftCell="A10" zoomScale="85" zoomScaleNormal="85" workbookViewId="0">
      <selection activeCell="K40" sqref="K40"/>
    </sheetView>
  </sheetViews>
  <sheetFormatPr defaultColWidth="15.75" defaultRowHeight="16.5" x14ac:dyDescent="0.25"/>
  <cols>
    <col min="1" max="1" width="15.75" style="32"/>
    <col min="2" max="2" width="15.75" style="55"/>
    <col min="3" max="16384" width="15.75" style="32"/>
  </cols>
  <sheetData>
    <row r="1" spans="1:29" x14ac:dyDescent="0.25">
      <c r="A1" s="30" t="s">
        <v>39</v>
      </c>
      <c r="B1" s="30"/>
      <c r="C1" s="30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29" ht="17.25" thickBot="1" x14ac:dyDescent="0.3">
      <c r="A2" s="33" t="s">
        <v>40</v>
      </c>
      <c r="B2" s="34"/>
      <c r="J2" s="88"/>
      <c r="K2" s="88"/>
      <c r="L2" s="88"/>
      <c r="M2" s="88"/>
    </row>
    <row r="3" spans="1:29" x14ac:dyDescent="0.25">
      <c r="A3" s="112" t="s">
        <v>41</v>
      </c>
      <c r="B3" s="113" t="s">
        <v>42</v>
      </c>
      <c r="C3" s="113"/>
      <c r="D3" s="113"/>
      <c r="E3" s="113"/>
      <c r="F3" s="114" t="s">
        <v>43</v>
      </c>
      <c r="G3" s="114"/>
      <c r="H3" s="114"/>
      <c r="I3" s="115"/>
      <c r="J3" s="121" t="s">
        <v>86</v>
      </c>
      <c r="K3" s="122"/>
      <c r="L3" s="122"/>
      <c r="M3" s="123"/>
      <c r="N3" s="120" t="s">
        <v>44</v>
      </c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16"/>
    </row>
    <row r="4" spans="1:29" x14ac:dyDescent="0.25">
      <c r="A4" s="112"/>
      <c r="B4" s="113" t="s">
        <v>45</v>
      </c>
      <c r="C4" s="113" t="s">
        <v>46</v>
      </c>
      <c r="D4" s="113" t="s">
        <v>47</v>
      </c>
      <c r="E4" s="113" t="s">
        <v>48</v>
      </c>
      <c r="F4" s="114" t="s">
        <v>49</v>
      </c>
      <c r="G4" s="114" t="s">
        <v>50</v>
      </c>
      <c r="H4" s="114" t="s">
        <v>51</v>
      </c>
      <c r="I4" s="115" t="s">
        <v>52</v>
      </c>
      <c r="J4" s="90" t="s">
        <v>53</v>
      </c>
      <c r="K4" s="78" t="s">
        <v>54</v>
      </c>
      <c r="L4" s="78" t="s">
        <v>55</v>
      </c>
      <c r="M4" s="91" t="s">
        <v>56</v>
      </c>
      <c r="N4" s="83" t="s">
        <v>53</v>
      </c>
      <c r="O4" s="35" t="s">
        <v>54</v>
      </c>
      <c r="P4" s="35" t="s">
        <v>55</v>
      </c>
      <c r="Q4" s="35" t="s">
        <v>56</v>
      </c>
      <c r="R4" s="35" t="s">
        <v>53</v>
      </c>
      <c r="S4" s="35" t="s">
        <v>54</v>
      </c>
      <c r="T4" s="35" t="s">
        <v>55</v>
      </c>
      <c r="U4" s="35" t="s">
        <v>56</v>
      </c>
      <c r="V4" s="35" t="s">
        <v>53</v>
      </c>
      <c r="W4" s="35" t="s">
        <v>54</v>
      </c>
      <c r="X4" s="35" t="s">
        <v>55</v>
      </c>
      <c r="Y4" s="35" t="s">
        <v>56</v>
      </c>
      <c r="Z4" s="35" t="s">
        <v>53</v>
      </c>
      <c r="AA4" s="35" t="s">
        <v>54</v>
      </c>
      <c r="AB4" s="35" t="s">
        <v>55</v>
      </c>
      <c r="AC4" s="35" t="s">
        <v>56</v>
      </c>
    </row>
    <row r="5" spans="1:29" x14ac:dyDescent="0.25">
      <c r="A5" s="112"/>
      <c r="B5" s="113"/>
      <c r="C5" s="113"/>
      <c r="D5" s="113"/>
      <c r="E5" s="113"/>
      <c r="F5" s="114"/>
      <c r="G5" s="114"/>
      <c r="H5" s="114"/>
      <c r="I5" s="115"/>
      <c r="J5" s="117" t="s">
        <v>57</v>
      </c>
      <c r="K5" s="118"/>
      <c r="L5" s="118"/>
      <c r="M5" s="119"/>
      <c r="N5" s="116" t="s">
        <v>57</v>
      </c>
      <c r="O5" s="111"/>
      <c r="P5" s="111"/>
      <c r="Q5" s="111"/>
      <c r="R5" s="111" t="s">
        <v>58</v>
      </c>
      <c r="S5" s="111"/>
      <c r="T5" s="111"/>
      <c r="U5" s="111"/>
      <c r="V5" s="111" t="s">
        <v>59</v>
      </c>
      <c r="W5" s="111"/>
      <c r="X5" s="111"/>
      <c r="Y5" s="111"/>
      <c r="Z5" s="111" t="s">
        <v>60</v>
      </c>
      <c r="AA5" s="111"/>
      <c r="AB5" s="111"/>
      <c r="AC5" s="111"/>
    </row>
    <row r="6" spans="1:29" x14ac:dyDescent="0.25">
      <c r="A6" s="36" t="s">
        <v>61</v>
      </c>
      <c r="B6" s="37">
        <v>59.764880952380942</v>
      </c>
      <c r="C6" s="37">
        <v>55.092261904761919</v>
      </c>
      <c r="D6" s="37">
        <v>55.092261904761919</v>
      </c>
      <c r="E6" s="37">
        <v>55.092261904761919</v>
      </c>
      <c r="F6" s="38">
        <v>55.092261904761919</v>
      </c>
      <c r="G6" s="38">
        <v>60.107142857142854</v>
      </c>
      <c r="H6" s="38">
        <v>59.702357142857146</v>
      </c>
      <c r="I6" s="79">
        <v>62.333357142857139</v>
      </c>
      <c r="J6" s="92">
        <v>63.744050000000001</v>
      </c>
      <c r="K6" s="77">
        <v>89.946428571428584</v>
      </c>
      <c r="L6" s="77">
        <v>86.785710714285713</v>
      </c>
      <c r="M6" s="93">
        <v>95.613089285714281</v>
      </c>
      <c r="N6" s="84">
        <v>59.041667857142855</v>
      </c>
      <c r="O6" s="39">
        <v>75.732153571428583</v>
      </c>
      <c r="P6" s="39">
        <v>85.553571428571445</v>
      </c>
      <c r="Q6" s="39">
        <v>95.083321428571409</v>
      </c>
      <c r="R6" s="39">
        <v>93.504007142857162</v>
      </c>
      <c r="S6" s="39">
        <v>96.11710476190477</v>
      </c>
      <c r="T6" s="39">
        <v>97.759916666666683</v>
      </c>
      <c r="U6" s="39">
        <v>97.400800000000018</v>
      </c>
      <c r="V6" s="39">
        <v>86.690475000000006</v>
      </c>
      <c r="W6" s="39">
        <v>94.936505952380926</v>
      </c>
      <c r="X6" s="39">
        <v>96.394839285714284</v>
      </c>
      <c r="Y6" s="39">
        <v>89.936507142857167</v>
      </c>
      <c r="Z6" s="40">
        <v>58.404757142857143</v>
      </c>
      <c r="AA6" s="40">
        <v>75.27381428571428</v>
      </c>
      <c r="AB6" s="40">
        <v>84.625003571428564</v>
      </c>
      <c r="AC6" s="40">
        <v>94.244046428571423</v>
      </c>
    </row>
    <row r="7" spans="1:29" s="45" customFormat="1" x14ac:dyDescent="0.25">
      <c r="A7" s="41"/>
      <c r="B7" s="42"/>
      <c r="C7" s="42"/>
      <c r="D7" s="42"/>
      <c r="E7" s="42"/>
      <c r="F7" s="43"/>
      <c r="G7" s="43"/>
      <c r="H7" s="43"/>
      <c r="I7" s="80"/>
      <c r="J7" s="94">
        <f>(J6-F6)/F6*100</f>
        <v>15.704180217168142</v>
      </c>
      <c r="K7" s="44">
        <f t="shared" ref="K7:L7" si="0">(K6-G6)/G6*100</f>
        <v>49.643493761140853</v>
      </c>
      <c r="L7" s="44">
        <f t="shared" si="0"/>
        <v>45.363960264789725</v>
      </c>
      <c r="M7" s="95">
        <f>(M6-I6)/I6*100</f>
        <v>53.389924220808169</v>
      </c>
      <c r="N7" s="85">
        <f>(N6-F6)/F6*100</f>
        <v>7.1687126573388467</v>
      </c>
      <c r="O7" s="44">
        <f>(O6-G6)/G6*100</f>
        <v>25.995264408793844</v>
      </c>
      <c r="P7" s="44">
        <f>(P6-H6)/H6*100</f>
        <v>43.300156849514217</v>
      </c>
      <c r="Q7" s="44">
        <f>(Q6-I6)/I6*100</f>
        <v>52.540029587460026</v>
      </c>
      <c r="R7" s="44">
        <f>(R6-F6)/F6*100</f>
        <v>69.722577926638209</v>
      </c>
      <c r="S7" s="44">
        <f>(S6-G6)/G6*100</f>
        <v>59.909621707268791</v>
      </c>
      <c r="T7" s="44">
        <f>(T6-H6)/H6*100</f>
        <v>63.745489031102323</v>
      </c>
      <c r="U7" s="44">
        <f>(U6-I6)/I6*100</f>
        <v>56.257908228453736</v>
      </c>
      <c r="V7" s="44">
        <f>(V6-F6)/F6*100</f>
        <v>57.355084004105642</v>
      </c>
      <c r="W7" s="44">
        <f>(W6-G6)/G6*100</f>
        <v>57.945464448405595</v>
      </c>
      <c r="X7" s="44">
        <f>(X6-H6)/H6*100</f>
        <v>61.459017531013963</v>
      </c>
      <c r="Y7" s="44">
        <f>(Y6-I6)/I6*100</f>
        <v>44.283111427382998</v>
      </c>
      <c r="Z7" s="44">
        <f>(Z6-F6)/F6*100</f>
        <v>6.0126324887904214</v>
      </c>
      <c r="AA7" s="44">
        <f>(AA6-G6)/G6*100</f>
        <v>25.232727272727267</v>
      </c>
      <c r="AB7" s="44">
        <f>(AB6-H6)/H6*100</f>
        <v>41.744828213291392</v>
      </c>
      <c r="AC7" s="44">
        <f>(AC6-I6)/I6*100</f>
        <v>51.193599620473783</v>
      </c>
    </row>
    <row r="8" spans="1:29" x14ac:dyDescent="0.25">
      <c r="A8" s="36" t="s">
        <v>62</v>
      </c>
      <c r="B8" s="37">
        <v>56.30654761904762</v>
      </c>
      <c r="C8" s="37">
        <v>55.000000000000007</v>
      </c>
      <c r="D8" s="37">
        <v>55.000000000000007</v>
      </c>
      <c r="E8" s="37">
        <v>55.000000000000007</v>
      </c>
      <c r="F8" s="38">
        <v>55.000000000000007</v>
      </c>
      <c r="G8" s="38">
        <v>60.601178571428576</v>
      </c>
      <c r="H8" s="38">
        <v>62.827285714285722</v>
      </c>
      <c r="I8" s="79">
        <v>63.869035714285708</v>
      </c>
      <c r="J8" s="92">
        <v>94.982146428571397</v>
      </c>
      <c r="K8" s="77">
        <v>96.511899999999983</v>
      </c>
      <c r="L8" s="77">
        <v>84.119050000000016</v>
      </c>
      <c r="M8" s="93">
        <v>95.488099999999989</v>
      </c>
      <c r="N8" s="84">
        <v>97.374996428571436</v>
      </c>
      <c r="O8" s="39">
        <v>94.357149999999976</v>
      </c>
      <c r="P8" s="39">
        <v>74.511910714285705</v>
      </c>
      <c r="Q8" s="39">
        <v>93.875007142857143</v>
      </c>
      <c r="R8" s="39">
        <v>93.279763095238096</v>
      </c>
      <c r="S8" s="39">
        <v>99.103167857142864</v>
      </c>
      <c r="T8" s="39">
        <v>97.291660714285726</v>
      </c>
      <c r="U8" s="39">
        <v>96.426561904761869</v>
      </c>
      <c r="V8" s="39">
        <v>98.684534523809518</v>
      </c>
      <c r="W8" s="39">
        <v>97.297031922398602</v>
      </c>
      <c r="X8" s="39">
        <v>98.632933333333312</v>
      </c>
      <c r="Y8" s="39">
        <v>95.706348809523817</v>
      </c>
      <c r="Z8" s="40">
        <v>97.080248148148144</v>
      </c>
      <c r="AA8" s="40">
        <v>94.26190714285714</v>
      </c>
      <c r="AB8" s="40">
        <v>74.024685185185191</v>
      </c>
      <c r="AC8" s="40">
        <v>93.709885185185215</v>
      </c>
    </row>
    <row r="9" spans="1:29" s="48" customFormat="1" x14ac:dyDescent="0.25">
      <c r="A9" s="41"/>
      <c r="B9" s="46"/>
      <c r="C9" s="46"/>
      <c r="D9" s="46"/>
      <c r="E9" s="46"/>
      <c r="F9" s="47"/>
      <c r="G9" s="47"/>
      <c r="H9" s="47"/>
      <c r="I9" s="81"/>
      <c r="J9" s="94">
        <f>(J8-F8)/F8*100</f>
        <v>72.694811688311617</v>
      </c>
      <c r="K9" s="44">
        <f t="shared" ref="K9" si="1">(K8-G8)/G8*100</f>
        <v>59.257463757482277</v>
      </c>
      <c r="L9" s="44">
        <f t="shared" ref="L9" si="2">(L8-H8)/H8*100</f>
        <v>33.889358809070679</v>
      </c>
      <c r="M9" s="95">
        <f>(M8-I8)/I8*100</f>
        <v>49.506093104583989</v>
      </c>
      <c r="N9" s="85">
        <f>(N8-F8)/F8*100</f>
        <v>77.045448051948043</v>
      </c>
      <c r="O9" s="44">
        <f>(O8-G8)/G8*100</f>
        <v>55.701839839277</v>
      </c>
      <c r="P9" s="44">
        <f>(P8-H8)/H8*100</f>
        <v>18.598010191204427</v>
      </c>
      <c r="Q9" s="44">
        <f>(Q8-I8)/I8*100</f>
        <v>46.980467284336882</v>
      </c>
      <c r="R9" s="44">
        <f>(R8-F8)/F8*100</f>
        <v>69.599569264069245</v>
      </c>
      <c r="S9" s="44">
        <f>(S8-G8)/G8*100</f>
        <v>63.533400163716756</v>
      </c>
      <c r="T9" s="44">
        <f>(T8-H8)/H8*100</f>
        <v>54.855743978389739</v>
      </c>
      <c r="U9" s="44">
        <f>(U8-I8)/I8*100</f>
        <v>50.975446593745829</v>
      </c>
      <c r="V9" s="44">
        <f>(V8-F8)/F8*100</f>
        <v>79.426426406926382</v>
      </c>
      <c r="W9" s="44">
        <f>(W8-G8)/G8*100</f>
        <v>60.553035792394461</v>
      </c>
      <c r="X9" s="44">
        <f>(X8-H8)/H8*100</f>
        <v>56.990600838428506</v>
      </c>
      <c r="Y9" s="44">
        <f>(Y8-I8)/I8*100</f>
        <v>49.84780612261067</v>
      </c>
      <c r="Z9" s="44">
        <f>(Z8-F8)/F8*100</f>
        <v>76.509542087542059</v>
      </c>
      <c r="AA9" s="44">
        <f>(AA8-G8)/G8*100</f>
        <v>55.544676464920215</v>
      </c>
      <c r="AB9" s="44">
        <f>(AB8-H8)/H8*100</f>
        <v>17.822510305189574</v>
      </c>
      <c r="AC9" s="44">
        <f>(AC8-I8)/I8*100</f>
        <v>46.721935186857607</v>
      </c>
    </row>
    <row r="10" spans="1:29" x14ac:dyDescent="0.25">
      <c r="A10" s="36" t="s">
        <v>63</v>
      </c>
      <c r="B10" s="37">
        <v>60.75297619047619</v>
      </c>
      <c r="C10" s="37">
        <v>52.907738095238102</v>
      </c>
      <c r="D10" s="37">
        <v>52.907738095238102</v>
      </c>
      <c r="E10" s="37">
        <v>52.907738095238102</v>
      </c>
      <c r="F10" s="38">
        <v>52.907738095238102</v>
      </c>
      <c r="G10" s="38">
        <v>61.773714285714284</v>
      </c>
      <c r="H10" s="38">
        <v>62.619107142857139</v>
      </c>
      <c r="I10" s="79">
        <v>68.01178571428575</v>
      </c>
      <c r="J10" s="92">
        <v>98.505950000000013</v>
      </c>
      <c r="K10" s="77">
        <v>99.428553571428552</v>
      </c>
      <c r="L10" s="77">
        <v>99.982139285714283</v>
      </c>
      <c r="M10" s="99">
        <v>97.750007142857129</v>
      </c>
      <c r="N10" s="84">
        <v>98.273803571428587</v>
      </c>
      <c r="O10" s="39">
        <v>99.60119642857147</v>
      </c>
      <c r="P10" s="39">
        <v>99.505953571428563</v>
      </c>
      <c r="Q10" s="39">
        <v>98.857146428571426</v>
      </c>
      <c r="R10" s="39">
        <v>99.35513095238089</v>
      </c>
      <c r="S10" s="39">
        <v>100</v>
      </c>
      <c r="T10" s="39">
        <v>99.365052380952349</v>
      </c>
      <c r="U10" s="39">
        <v>99.547627380952392</v>
      </c>
      <c r="V10" s="39">
        <v>99.59524761904764</v>
      </c>
      <c r="W10" s="39">
        <v>99.819433333333322</v>
      </c>
      <c r="X10" s="39">
        <v>99.424610714285734</v>
      </c>
      <c r="Y10" s="39">
        <v>99.567470238095268</v>
      </c>
      <c r="Z10" s="40">
        <v>98.226196428571455</v>
      </c>
      <c r="AA10" s="40">
        <v>99.565482142857149</v>
      </c>
      <c r="AB10" s="40">
        <v>99.5</v>
      </c>
      <c r="AC10" s="40">
        <v>98.654767857142843</v>
      </c>
    </row>
    <row r="11" spans="1:29" s="45" customFormat="1" x14ac:dyDescent="0.25">
      <c r="A11" s="41"/>
      <c r="B11" s="42"/>
      <c r="C11" s="42"/>
      <c r="D11" s="42"/>
      <c r="E11" s="42"/>
      <c r="F11" s="43"/>
      <c r="G11" s="43"/>
      <c r="H11" s="43"/>
      <c r="I11" s="80"/>
      <c r="J11" s="94">
        <f>(J10-F10)/F10*100</f>
        <v>86.184391067109189</v>
      </c>
      <c r="K11" s="44">
        <f t="shared" ref="K11" si="3">(K10-G10)/G10*100</f>
        <v>60.956087425072127</v>
      </c>
      <c r="L11" s="44">
        <f t="shared" ref="L11" si="4">(L10-H10)/H10*100</f>
        <v>59.667142901955415</v>
      </c>
      <c r="M11" s="95">
        <f>(M10-I10)/I10*100</f>
        <v>43.725100166462653</v>
      </c>
      <c r="N11" s="85">
        <f>(N10-F10)/F10*100</f>
        <v>85.74561512066154</v>
      </c>
      <c r="O11" s="44">
        <f>(O10-G10)/G10*100</f>
        <v>61.235563670169533</v>
      </c>
      <c r="P11" s="44">
        <f>(P10-H10)/H10*100</f>
        <v>58.906694955613162</v>
      </c>
      <c r="Q11" s="44">
        <f>(Q10-I10)/I10*100</f>
        <v>45.352964034594763</v>
      </c>
      <c r="R11" s="44">
        <f>(R10-F10)/F10*100</f>
        <v>87.789413286831149</v>
      </c>
      <c r="S11" s="44">
        <f>(S10-G10)/G10*100</f>
        <v>61.881151483756391</v>
      </c>
      <c r="T11" s="44">
        <f>(T10-H10)/H10*100</f>
        <v>58.681681861519095</v>
      </c>
      <c r="U11" s="44">
        <f>(U10-I10)/I10*100</f>
        <v>46.368201239631027</v>
      </c>
      <c r="V11" s="44">
        <f>(V10-F10)/F10*100</f>
        <v>88.243253642346858</v>
      </c>
      <c r="W11" s="44">
        <f>(W10-G10)/G10*100</f>
        <v>61.588848084560532</v>
      </c>
      <c r="X11" s="44">
        <f>(X10-H10)/H10*100</f>
        <v>58.776793938408844</v>
      </c>
      <c r="Y11" s="44">
        <f>(Y10-I10)/I10*100</f>
        <v>46.397376855201884</v>
      </c>
      <c r="Z11" s="44">
        <f>(Z10-F10)/F10*100</f>
        <v>85.655633683973704</v>
      </c>
      <c r="AA11" s="44">
        <f>(AA10-G10)/G10*100</f>
        <v>61.177748973210996</v>
      </c>
      <c r="AB11" s="44">
        <f>(AB10-H10)/H10*100</f>
        <v>58.897187360088068</v>
      </c>
      <c r="AC11" s="44">
        <f>(AC10-I10)/I10*100</f>
        <v>45.055400061963951</v>
      </c>
    </row>
    <row r="12" spans="1:29" x14ac:dyDescent="0.25">
      <c r="A12" s="36" t="s">
        <v>64</v>
      </c>
      <c r="B12" s="37">
        <v>66.18452380952381</v>
      </c>
      <c r="C12" s="37">
        <v>53.291666666666671</v>
      </c>
      <c r="D12" s="37">
        <v>53.291666666666671</v>
      </c>
      <c r="E12" s="37">
        <v>53.291666666666671</v>
      </c>
      <c r="F12" s="38">
        <v>53.291666666666671</v>
      </c>
      <c r="G12" s="38">
        <v>57.267857142857146</v>
      </c>
      <c r="H12" s="38">
        <v>60.470285714285716</v>
      </c>
      <c r="I12" s="79">
        <v>65.428642857142847</v>
      </c>
      <c r="J12" s="92">
        <v>80.148807142857137</v>
      </c>
      <c r="K12" s="77">
        <v>70.80355357142858</v>
      </c>
      <c r="L12" s="77">
        <v>57.749996428571428</v>
      </c>
      <c r="M12" s="99">
        <v>75.273807142857137</v>
      </c>
      <c r="N12" s="84">
        <v>60.494050000000001</v>
      </c>
      <c r="O12" s="39">
        <v>87.178575000000009</v>
      </c>
      <c r="P12" s="39">
        <v>89.172621428571446</v>
      </c>
      <c r="Q12" s="39">
        <v>78.202382142857132</v>
      </c>
      <c r="R12" s="39">
        <v>92.494046428571437</v>
      </c>
      <c r="S12" s="39">
        <v>98.142853571428574</v>
      </c>
      <c r="T12" s="39">
        <v>93.291666666666671</v>
      </c>
      <c r="U12" s="39">
        <v>89.849208333333351</v>
      </c>
      <c r="V12" s="39">
        <v>98.166663095238093</v>
      </c>
      <c r="W12" s="39">
        <v>91.603171428571429</v>
      </c>
      <c r="X12" s="39">
        <v>90.101184523809522</v>
      </c>
      <c r="Y12" s="39">
        <v>81.767860714285732</v>
      </c>
      <c r="Z12" s="40">
        <v>60.214285714285715</v>
      </c>
      <c r="AA12" s="40">
        <v>77.70833571428571</v>
      </c>
      <c r="AB12" s="40">
        <v>88.589278571428579</v>
      </c>
      <c r="AC12" s="40">
        <v>77.70833571428571</v>
      </c>
    </row>
    <row r="13" spans="1:29" s="45" customFormat="1" x14ac:dyDescent="0.25">
      <c r="A13" s="41"/>
      <c r="B13" s="42"/>
      <c r="C13" s="42"/>
      <c r="D13" s="42"/>
      <c r="E13" s="42"/>
      <c r="F13" s="43"/>
      <c r="G13" s="43"/>
      <c r="H13" s="43"/>
      <c r="I13" s="80"/>
      <c r="J13" s="94">
        <f>(J12-F12)/F12*100</f>
        <v>50.396510666815566</v>
      </c>
      <c r="K13" s="44">
        <f t="shared" ref="K13" si="5">(K12-G12)/G12*100</f>
        <v>23.635765512940452</v>
      </c>
      <c r="L13" s="44">
        <f t="shared" ref="L13" si="6">(L12-H12)/H12*100</f>
        <v>-4.4985553707606121</v>
      </c>
      <c r="M13" s="95">
        <f>(M12-I12)/I12*100</f>
        <v>15.047177896094007</v>
      </c>
      <c r="N13" s="85">
        <f>(N12-F12)/F12*100</f>
        <v>13.515027365129001</v>
      </c>
      <c r="O13" s="44">
        <f>(O12-G12)/G12*100</f>
        <v>52.229504209541631</v>
      </c>
      <c r="P13" s="44">
        <f>(P12-H12)/H12*100</f>
        <v>47.465189514566802</v>
      </c>
      <c r="Q13" s="44">
        <f>(Q12-I12)/I12*100</f>
        <v>19.523161000915941</v>
      </c>
      <c r="R13" s="44">
        <f>(R12-F12)/F12*100</f>
        <v>73.561932313191107</v>
      </c>
      <c r="S13" s="44">
        <f>(S12-G12)/G12*100</f>
        <v>71.375110695353911</v>
      </c>
      <c r="T13" s="44">
        <f>(T12-H12)/H12*100</f>
        <v>54.276874277488517</v>
      </c>
      <c r="U13" s="44">
        <f>(U12-I12)/I12*100</f>
        <v>37.323967623033937</v>
      </c>
      <c r="V13" s="44">
        <f>(V12-F12)/F12*100</f>
        <v>84.206404557131663</v>
      </c>
      <c r="W13" s="44">
        <f>(W12-G12)/G12*100</f>
        <v>59.955647022139061</v>
      </c>
      <c r="X13" s="44">
        <f>(X12-H12)/H12*100</f>
        <v>49.000758735498579</v>
      </c>
      <c r="Y13" s="44">
        <f>(Y12-I12)/I12*100</f>
        <v>24.972576449152392</v>
      </c>
      <c r="Z13" s="44">
        <f>(Z12-F12)/F12*100</f>
        <v>12.990059198034171</v>
      </c>
      <c r="AA13" s="44">
        <f>(AA12-G12)/G12*100</f>
        <v>35.692759588400357</v>
      </c>
      <c r="AB13" s="44">
        <f>(AB12-H12)/H12*100</f>
        <v>46.500512648479074</v>
      </c>
      <c r="AC13" s="44">
        <f>(AC12-I12)/I12*100</f>
        <v>18.768069030492335</v>
      </c>
    </row>
    <row r="14" spans="1:29" x14ac:dyDescent="0.25">
      <c r="A14" s="36" t="s">
        <v>65</v>
      </c>
      <c r="B14" s="37">
        <v>62.93154761904762</v>
      </c>
      <c r="C14" s="37">
        <v>55.288690476190482</v>
      </c>
      <c r="D14" s="37">
        <v>55.288690476190482</v>
      </c>
      <c r="E14" s="37">
        <v>55.288690476190482</v>
      </c>
      <c r="F14" s="38">
        <v>55.288690476190482</v>
      </c>
      <c r="G14" s="38">
        <v>56.357142857142847</v>
      </c>
      <c r="H14" s="38">
        <v>62.154785714285715</v>
      </c>
      <c r="I14" s="79">
        <v>67.0655</v>
      </c>
      <c r="J14" s="92">
        <v>75.41666428571429</v>
      </c>
      <c r="K14" s="77">
        <v>88.773810714285716</v>
      </c>
      <c r="L14" s="77">
        <v>81.023810714285702</v>
      </c>
      <c r="M14" s="99">
        <v>95.261899999999983</v>
      </c>
      <c r="N14" s="84">
        <v>84.160714285714263</v>
      </c>
      <c r="O14" s="39">
        <v>84.160714285714263</v>
      </c>
      <c r="P14" s="39">
        <v>71.619046428571423</v>
      </c>
      <c r="Q14" s="39">
        <v>96.107146428571468</v>
      </c>
      <c r="R14" s="39">
        <v>97.599255952380943</v>
      </c>
      <c r="S14" s="39">
        <v>98.952344047619064</v>
      </c>
      <c r="T14" s="39">
        <v>98.019839285714284</v>
      </c>
      <c r="U14" s="39">
        <v>99.234163095238102</v>
      </c>
      <c r="V14" s="39">
        <v>97.613100000000017</v>
      </c>
      <c r="W14" s="39">
        <v>98.656739285714295</v>
      </c>
      <c r="X14" s="39">
        <v>97.958324999999959</v>
      </c>
      <c r="Y14" s="39">
        <v>97.992065476190476</v>
      </c>
      <c r="Z14" s="40">
        <v>66.47618571428572</v>
      </c>
      <c r="AA14" s="40">
        <v>83.541660714285698</v>
      </c>
      <c r="AB14" s="40">
        <v>71.541671428571433</v>
      </c>
      <c r="AC14" s="40">
        <v>95.571439285714277</v>
      </c>
    </row>
    <row r="15" spans="1:29" s="45" customFormat="1" x14ac:dyDescent="0.25">
      <c r="A15" s="41"/>
      <c r="B15" s="42"/>
      <c r="C15" s="42"/>
      <c r="D15" s="42"/>
      <c r="E15" s="42"/>
      <c r="F15" s="43"/>
      <c r="G15" s="43"/>
      <c r="H15" s="43"/>
      <c r="I15" s="80"/>
      <c r="J15" s="94">
        <f>(J14-F14)/F14*100</f>
        <v>36.405227970070513</v>
      </c>
      <c r="K15" s="44">
        <f t="shared" ref="K15" si="7">(K14-G14)/G14*100</f>
        <v>57.520069708491796</v>
      </c>
      <c r="L15" s="44">
        <f t="shared" ref="L15" si="8">(L14-H14)/H14*100</f>
        <v>30.358120912422535</v>
      </c>
      <c r="M15" s="95">
        <f>(M14-I14)/I14*100</f>
        <v>42.043077290111881</v>
      </c>
      <c r="N15" s="85">
        <f>(N14-F14)/F14*100</f>
        <v>52.220487699843844</v>
      </c>
      <c r="O15" s="44">
        <f>(O14-G14)/G14*100</f>
        <v>49.334600760456262</v>
      </c>
      <c r="P15" s="44">
        <f>(P14-H14)/H14*100</f>
        <v>15.226921958658499</v>
      </c>
      <c r="Q15" s="44">
        <f>(Q14-I14)/I14*100</f>
        <v>43.303407010417381</v>
      </c>
      <c r="R15" s="44">
        <f>(R14-F14)/F14*100</f>
        <v>76.526618937395668</v>
      </c>
      <c r="S15" s="44">
        <f>(S14-G14)/G14*100</f>
        <v>75.580838614279742</v>
      </c>
      <c r="T15" s="44">
        <f>(T14-H14)/H14*100</f>
        <v>57.702803025166425</v>
      </c>
      <c r="U15" s="44">
        <f>(U14-I14)/I14*100</f>
        <v>47.966037821589495</v>
      </c>
      <c r="V15" s="44">
        <f>(V14-F14)/F14*100</f>
        <v>76.551658502449285</v>
      </c>
      <c r="W15" s="44">
        <f>(W14-G14)/G14*100</f>
        <v>75.056318124207905</v>
      </c>
      <c r="X15" s="44">
        <f>(X14-H14)/H14*100</f>
        <v>57.603833517014479</v>
      </c>
      <c r="Y15" s="44">
        <f>(Y14-I14)/I14*100</f>
        <v>46.113971380501859</v>
      </c>
      <c r="Z15" s="44">
        <f>(Z14-F14)/F14*100</f>
        <v>20.234690208322117</v>
      </c>
      <c r="AA15" s="44">
        <f>(AA14-G14)/G14*100</f>
        <v>48.236153358681868</v>
      </c>
      <c r="AB15" s="44">
        <f>(AB14-H14)/H14*100</f>
        <v>15.102434360300959</v>
      </c>
      <c r="AC15" s="44">
        <f>(AC14-I14)/I14*100</f>
        <v>42.504625009452369</v>
      </c>
    </row>
    <row r="16" spans="1:29" x14ac:dyDescent="0.25">
      <c r="A16" s="36" t="s">
        <v>66</v>
      </c>
      <c r="B16" s="37">
        <v>64.544642857142847</v>
      </c>
      <c r="C16" s="37">
        <v>56.059523809523803</v>
      </c>
      <c r="D16" s="37">
        <v>56.059523809523803</v>
      </c>
      <c r="E16" s="37">
        <v>56.059523809523803</v>
      </c>
      <c r="F16" s="38">
        <v>56.059523809523803</v>
      </c>
      <c r="G16" s="38">
        <v>57.678678571428563</v>
      </c>
      <c r="H16" s="38">
        <v>60.589285714285708</v>
      </c>
      <c r="I16" s="79">
        <v>61.767892857142861</v>
      </c>
      <c r="J16" s="92">
        <v>97.672628571428589</v>
      </c>
      <c r="K16" s="77">
        <v>96.583332142857174</v>
      </c>
      <c r="L16" s="77">
        <v>90.392860714285703</v>
      </c>
      <c r="M16" s="93">
        <v>99.119042857142887</v>
      </c>
      <c r="N16" s="84">
        <v>72.101189285714284</v>
      </c>
      <c r="O16" s="39">
        <v>96.696421428571426</v>
      </c>
      <c r="P16" s="39">
        <v>98.767849999999996</v>
      </c>
      <c r="Q16" s="39">
        <v>98.76785357142856</v>
      </c>
      <c r="R16" s="39">
        <v>98.742047619047597</v>
      </c>
      <c r="S16" s="39">
        <v>99.902769047619032</v>
      </c>
      <c r="T16" s="39">
        <v>99.722213095238089</v>
      </c>
      <c r="U16" s="39">
        <v>99.551600000000022</v>
      </c>
      <c r="V16" s="39">
        <v>99.853149999999957</v>
      </c>
      <c r="W16" s="39">
        <v>99.408711904761859</v>
      </c>
      <c r="X16" s="39">
        <v>99.015869047619034</v>
      </c>
      <c r="Y16" s="39">
        <v>98.744048809523818</v>
      </c>
      <c r="Z16" s="40">
        <v>69.734566666666666</v>
      </c>
      <c r="AA16" s="40">
        <v>96.470235714285678</v>
      </c>
      <c r="AB16" s="40">
        <v>98.59524285714285</v>
      </c>
      <c r="AC16" s="40">
        <v>98.541667857142855</v>
      </c>
    </row>
    <row r="17" spans="1:29" s="45" customFormat="1" x14ac:dyDescent="0.25">
      <c r="A17" s="41"/>
      <c r="B17" s="42"/>
      <c r="C17" s="42"/>
      <c r="D17" s="42"/>
      <c r="E17" s="42"/>
      <c r="F17" s="43"/>
      <c r="G17" s="43"/>
      <c r="H17" s="43"/>
      <c r="I17" s="80"/>
      <c r="J17" s="94">
        <f>(J16-F16)/F16*100</f>
        <v>74.230214482905126</v>
      </c>
      <c r="K17" s="44">
        <f t="shared" ref="K17" si="9">(K16-G16)/G16*100</f>
        <v>67.450667274302361</v>
      </c>
      <c r="L17" s="44">
        <f t="shared" ref="L17" si="10">(L16-H16)/H16*100</f>
        <v>49.189513704686114</v>
      </c>
      <c r="M17" s="95">
        <f>(M16-I16)/I16*100</f>
        <v>60.470170297675494</v>
      </c>
      <c r="N17" s="85">
        <f>(N16-F16)/F16*100</f>
        <v>28.615415162454887</v>
      </c>
      <c r="O17" s="44">
        <f>(O16-G16)/G16*100</f>
        <v>67.64673502154487</v>
      </c>
      <c r="P17" s="44">
        <f>(P16-H16)/H16*100</f>
        <v>63.012071912761577</v>
      </c>
      <c r="Q17" s="44">
        <f>(Q16-I16)/I16*100</f>
        <v>59.901607457873659</v>
      </c>
      <c r="R17" s="44">
        <f>(R16-F16)/F16*100</f>
        <v>76.137863665321703</v>
      </c>
      <c r="S17" s="44">
        <f>(S16-G16)/G16*100</f>
        <v>73.20571747131946</v>
      </c>
      <c r="T17" s="44">
        <f>(T16-H16)/H16*100</f>
        <v>64.587206994793206</v>
      </c>
      <c r="U17" s="44">
        <f>(U16-I16)/I16*100</f>
        <v>61.170464775678091</v>
      </c>
      <c r="V17" s="44">
        <f>(V16-F16)/F16*100</f>
        <v>78.119868337226535</v>
      </c>
      <c r="W17" s="44">
        <f>(W16-G16)/G16*100</f>
        <v>72.349149403024796</v>
      </c>
      <c r="X17" s="44">
        <f>(X16-H16)/H16*100</f>
        <v>63.421416642106287</v>
      </c>
      <c r="Y17" s="44">
        <f>(Y16-I16)/I16*100</f>
        <v>59.863068403352571</v>
      </c>
      <c r="Z17" s="44">
        <f>(Z16-F16)/F16*100</f>
        <v>24.393790613718423</v>
      </c>
      <c r="AA17" s="44">
        <f>(AA16-G16)/G16*100</f>
        <v>67.254587143181737</v>
      </c>
      <c r="AB17" s="44">
        <f>(AB16-H16)/H16*100</f>
        <v>62.727191276156802</v>
      </c>
      <c r="AC17" s="44">
        <f>(AC16-I16)/I16*100</f>
        <v>59.535420910424442</v>
      </c>
    </row>
    <row r="18" spans="1:29" x14ac:dyDescent="0.25">
      <c r="A18" s="36" t="s">
        <v>67</v>
      </c>
      <c r="B18" s="37">
        <v>68.583333333333314</v>
      </c>
      <c r="C18" s="37">
        <v>62.261904761904759</v>
      </c>
      <c r="D18" s="37">
        <v>62.261904761904759</v>
      </c>
      <c r="E18" s="37">
        <v>62.261904761904759</v>
      </c>
      <c r="F18" s="38">
        <v>62.261904761904759</v>
      </c>
      <c r="G18" s="38">
        <v>57.892785714285708</v>
      </c>
      <c r="H18" s="38">
        <v>59.535678571428569</v>
      </c>
      <c r="I18" s="79">
        <v>63.482107142857117</v>
      </c>
      <c r="J18" s="92">
        <v>71.202382142857147</v>
      </c>
      <c r="K18" s="77">
        <v>89.803574999999995</v>
      </c>
      <c r="L18" s="77">
        <v>88.351192857142863</v>
      </c>
      <c r="M18" s="93">
        <v>91.357142857142847</v>
      </c>
      <c r="N18" s="84">
        <v>82.190482142857135</v>
      </c>
      <c r="O18" s="39">
        <v>80.339285714285708</v>
      </c>
      <c r="P18" s="39">
        <v>91.250003571428579</v>
      </c>
      <c r="Q18" s="39">
        <v>88.452385714285725</v>
      </c>
      <c r="R18" s="39">
        <v>97.126983333333328</v>
      </c>
      <c r="S18" s="39">
        <v>95.831342857142843</v>
      </c>
      <c r="T18" s="39">
        <v>97.88690357142859</v>
      </c>
      <c r="U18" s="39">
        <v>95.158732142857147</v>
      </c>
      <c r="V18" s="39">
        <v>91.068266269841274</v>
      </c>
      <c r="W18" s="39">
        <v>90.784463800705453</v>
      </c>
      <c r="X18" s="39">
        <v>98.349207142857153</v>
      </c>
      <c r="Y18" s="39">
        <v>97.16667023809525</v>
      </c>
      <c r="Z18" s="40">
        <v>80.904764285714279</v>
      </c>
      <c r="AA18" s="40">
        <v>79.017849999999996</v>
      </c>
      <c r="AB18" s="40">
        <v>90.732128571428561</v>
      </c>
      <c r="AC18" s="40">
        <v>87.956796296296304</v>
      </c>
    </row>
    <row r="19" spans="1:29" s="45" customFormat="1" x14ac:dyDescent="0.25">
      <c r="A19" s="41"/>
      <c r="B19" s="42"/>
      <c r="C19" s="42"/>
      <c r="D19" s="42"/>
      <c r="E19" s="42"/>
      <c r="F19" s="43"/>
      <c r="G19" s="43"/>
      <c r="H19" s="43"/>
      <c r="I19" s="80"/>
      <c r="J19" s="94">
        <f>(J18-F18)/F18*100</f>
        <v>14.359466539196951</v>
      </c>
      <c r="K19" s="44">
        <f t="shared" ref="K19" si="11">(K18-G18)/G18*100</f>
        <v>55.120493671182821</v>
      </c>
      <c r="L19" s="44">
        <f t="shared" ref="L19" si="12">(L18-H18)/H18*100</f>
        <v>48.400412957656258</v>
      </c>
      <c r="M19" s="95">
        <f>(M18-I18)/I18*100</f>
        <v>43.910066897365382</v>
      </c>
      <c r="N19" s="85">
        <f>(N18-F18)/F18*100</f>
        <v>32.007657743785842</v>
      </c>
      <c r="O19" s="44">
        <f>(O18-G18)/G18*100</f>
        <v>38.772533957475588</v>
      </c>
      <c r="P19" s="44">
        <f>(P18-H18)/H18*100</f>
        <v>53.26944407285189</v>
      </c>
      <c r="Q19" s="44">
        <f>(Q18-I18)/I18*100</f>
        <v>39.334356868836565</v>
      </c>
      <c r="R19" s="44">
        <f>(R18-F18)/F18*100</f>
        <v>55.99744933078393</v>
      </c>
      <c r="S19" s="44">
        <f>(S18-G18)/G18*100</f>
        <v>65.532443593391221</v>
      </c>
      <c r="T19" s="44">
        <f>(T18-H18)/H18*100</f>
        <v>64.41721320768643</v>
      </c>
      <c r="U19" s="44">
        <f>(U18-I18)/I18*100</f>
        <v>49.898509084955947</v>
      </c>
      <c r="V19" s="44">
        <f>(V18-F18)/F18*100</f>
        <v>46.266431485022316</v>
      </c>
      <c r="W19" s="44">
        <f>(W18-G18)/G18*100</f>
        <v>56.814813245898698</v>
      </c>
      <c r="X19" s="44">
        <f>(X18-H18)/H18*100</f>
        <v>65.193728370562937</v>
      </c>
      <c r="Y19" s="44">
        <f>(Y18-I18)/I18*100</f>
        <v>53.061507582657882</v>
      </c>
      <c r="Z19" s="44">
        <f>(Z18-F18)/F18*100</f>
        <v>29.942642447418734</v>
      </c>
      <c r="AA19" s="44">
        <f>(AA18-G18)/G18*100</f>
        <v>36.489977162217357</v>
      </c>
      <c r="AB19" s="44">
        <f>(AB18-H18)/H18*100</f>
        <v>52.399587522248048</v>
      </c>
      <c r="AC19" s="44">
        <f>(AC18-I18)/I18*100</f>
        <v>38.553681115786702</v>
      </c>
    </row>
    <row r="20" spans="1:29" x14ac:dyDescent="0.25">
      <c r="A20" s="36" t="s">
        <v>68</v>
      </c>
      <c r="B20" s="37">
        <v>51.300595238095234</v>
      </c>
      <c r="C20" s="37">
        <v>50.68452380952381</v>
      </c>
      <c r="D20" s="37">
        <v>50.68452380952381</v>
      </c>
      <c r="E20" s="37">
        <v>50.68452380952381</v>
      </c>
      <c r="F20" s="38">
        <v>50.68452380952381</v>
      </c>
      <c r="G20" s="38">
        <v>50.035714285714285</v>
      </c>
      <c r="H20" s="38">
        <v>53.916642857142847</v>
      </c>
      <c r="I20" s="79">
        <v>58.000000000000014</v>
      </c>
      <c r="J20" s="92">
        <v>76.767857142857139</v>
      </c>
      <c r="K20" s="77">
        <v>92.226196428571455</v>
      </c>
      <c r="L20" s="77">
        <v>95.374999999999986</v>
      </c>
      <c r="M20" s="99">
        <v>90.696421428571441</v>
      </c>
      <c r="N20" s="84">
        <v>92.339282142857158</v>
      </c>
      <c r="O20" s="39">
        <v>93.267846428571403</v>
      </c>
      <c r="P20" s="39">
        <v>93.267846428571403</v>
      </c>
      <c r="Q20" s="39">
        <v>91.827385714285725</v>
      </c>
      <c r="R20" s="39">
        <v>96.478175000000007</v>
      </c>
      <c r="S20" s="39">
        <v>93.345235714285707</v>
      </c>
      <c r="T20" s="39">
        <v>88.265869047619049</v>
      </c>
      <c r="U20" s="39">
        <v>85.601189285714284</v>
      </c>
      <c r="V20" s="39">
        <v>75.329364285714291</v>
      </c>
      <c r="W20" s="39">
        <v>93.450398809523804</v>
      </c>
      <c r="X20" s="39">
        <v>90.716271428571417</v>
      </c>
      <c r="Y20" s="39">
        <v>83.541665476190474</v>
      </c>
      <c r="Z20" s="40">
        <v>91.61905357142858</v>
      </c>
      <c r="AA20" s="40">
        <v>93.184514285714258</v>
      </c>
      <c r="AB20" s="40">
        <v>92.125007142857157</v>
      </c>
      <c r="AC20" s="40">
        <v>91.178582142857167</v>
      </c>
    </row>
    <row r="21" spans="1:29" s="45" customFormat="1" x14ac:dyDescent="0.25">
      <c r="A21" s="41"/>
      <c r="B21" s="42"/>
      <c r="C21" s="42"/>
      <c r="D21" s="42"/>
      <c r="E21" s="42"/>
      <c r="F21" s="43"/>
      <c r="G21" s="43"/>
      <c r="H21" s="43"/>
      <c r="I21" s="80"/>
      <c r="J21" s="94">
        <f>(J20-F20)/F20*100</f>
        <v>51.462125660598936</v>
      </c>
      <c r="K21" s="44">
        <f t="shared" ref="K21" si="13">(K20-G20)/G20*100</f>
        <v>84.320735189150668</v>
      </c>
      <c r="L21" s="44">
        <f t="shared" ref="L21" si="14">(L20-H20)/H20*100</f>
        <v>76.893432057157014</v>
      </c>
      <c r="M21" s="95">
        <f>(M20-I20)/I20*100</f>
        <v>56.373140394088651</v>
      </c>
      <c r="N21" s="85">
        <f>(N20-F20)/F20*100</f>
        <v>82.184373458602494</v>
      </c>
      <c r="O21" s="44">
        <f>(O20-G20)/G20*100</f>
        <v>86.402548179871474</v>
      </c>
      <c r="P21" s="44">
        <f>(P20-H20)/H20*100</f>
        <v>72.98526296545063</v>
      </c>
      <c r="Q21" s="44">
        <f>(Q20-I20)/I20*100</f>
        <v>58.323078817733972</v>
      </c>
      <c r="R21" s="44">
        <f>(R20-F20)/F20*100</f>
        <v>90.35036288901938</v>
      </c>
      <c r="S21" s="44">
        <f>(S20-G20)/G20*100</f>
        <v>86.557216274089924</v>
      </c>
      <c r="T21" s="44">
        <f>(T20-H20)/H20*100</f>
        <v>63.708021067794718</v>
      </c>
      <c r="U21" s="44">
        <f>(U20-I20)/I20*100</f>
        <v>47.588257389162521</v>
      </c>
      <c r="V21" s="44">
        <f>(V20-F20)/F20*100</f>
        <v>48.623995302407522</v>
      </c>
      <c r="W21" s="44">
        <f>(W20-G20)/G20*100</f>
        <v>86.767392338805607</v>
      </c>
      <c r="X21" s="44">
        <f>(X20-H20)/H20*100</f>
        <v>68.252818835424534</v>
      </c>
      <c r="Y21" s="44">
        <f>(Y20-I20)/I20*100</f>
        <v>44.037354269293886</v>
      </c>
      <c r="Z21" s="44">
        <f>(Z20-F20)/F20*100</f>
        <v>80.763370522607175</v>
      </c>
      <c r="AA21" s="44">
        <f>(AA20-G20)/G20*100</f>
        <v>86.23600285510345</v>
      </c>
      <c r="AB21" s="44">
        <f>(AB20-H20)/H20*100</f>
        <v>70.865621932268525</v>
      </c>
      <c r="AC21" s="44">
        <f>(AC20-I20)/I20*100</f>
        <v>57.204451970443351</v>
      </c>
    </row>
    <row r="22" spans="1:29" x14ac:dyDescent="0.25">
      <c r="A22" s="36" t="s">
        <v>69</v>
      </c>
      <c r="B22" s="49">
        <f>AVERAGE(B6:B20)</f>
        <v>61.296130952380942</v>
      </c>
      <c r="C22" s="49">
        <f t="shared" ref="C22:H22" si="15">AVERAGE(C6:C20)</f>
        <v>55.07328869047619</v>
      </c>
      <c r="D22" s="49">
        <f t="shared" si="15"/>
        <v>55.07328869047619</v>
      </c>
      <c r="E22" s="49">
        <f t="shared" si="15"/>
        <v>55.07328869047619</v>
      </c>
      <c r="F22" s="50">
        <f>AVERAGE(F6:F20)</f>
        <v>55.07328869047619</v>
      </c>
      <c r="G22" s="38">
        <f t="shared" si="15"/>
        <v>57.714276785714283</v>
      </c>
      <c r="H22" s="38">
        <f t="shared" si="15"/>
        <v>60.226928571428573</v>
      </c>
      <c r="I22" s="79">
        <f>AVERAGE(I6:I20)</f>
        <v>63.744790178571421</v>
      </c>
      <c r="J22" s="92">
        <f>AVERAGE(J6,J8,J10,J12,J14,J16,J18,J20)</f>
        <v>82.305060714285716</v>
      </c>
      <c r="K22" s="77">
        <f t="shared" ref="K22:M22" si="16">AVERAGE(K6,K8,K10,K12,K14,K16,K18,K20)</f>
        <v>90.509668750000017</v>
      </c>
      <c r="L22" s="77">
        <f t="shared" si="16"/>
        <v>85.472470089285707</v>
      </c>
      <c r="M22" s="99">
        <f t="shared" si="16"/>
        <v>92.569938839285712</v>
      </c>
      <c r="N22" s="86">
        <f>AVERAGE(N6,N8,N10,N12,N14,N16,N18,N20)</f>
        <v>80.747023214285718</v>
      </c>
      <c r="O22" s="51">
        <f>AVERAGE(O6,O8,O10,O12,O14,O16,O18,O20)</f>
        <v>88.916667857142855</v>
      </c>
      <c r="P22" s="51">
        <f>AVERAGE(P6,P8,P10,P12,P14,P16,P18,P20)</f>
        <v>87.956100446428565</v>
      </c>
      <c r="Q22" s="51">
        <f>AVERAGE(Q6,Q8,Q10,Q12,Q14,Q16,Q18,Q20)</f>
        <v>92.646578571428563</v>
      </c>
      <c r="R22" s="51">
        <f t="shared" ref="R22:AC22" si="17">AVERAGE(R6,R8,R10,R12,R14,R16,R18,R20)</f>
        <v>96.072426190476179</v>
      </c>
      <c r="S22" s="51">
        <f t="shared" si="17"/>
        <v>97.674352232142866</v>
      </c>
      <c r="T22" s="51">
        <f t="shared" si="17"/>
        <v>96.450390178571425</v>
      </c>
      <c r="U22" s="51">
        <f t="shared" si="17"/>
        <v>95.346235267857153</v>
      </c>
      <c r="V22" s="51">
        <f t="shared" si="17"/>
        <v>93.37510009920635</v>
      </c>
      <c r="W22" s="51">
        <f t="shared" si="17"/>
        <v>95.74455705467372</v>
      </c>
      <c r="X22" s="51">
        <f t="shared" si="17"/>
        <v>96.324155059523804</v>
      </c>
      <c r="Y22" s="51">
        <f t="shared" si="17"/>
        <v>93.052829613095255</v>
      </c>
      <c r="Z22" s="51">
        <f t="shared" si="17"/>
        <v>77.832507208994699</v>
      </c>
      <c r="AA22" s="51">
        <f t="shared" si="17"/>
        <v>87.377974999999992</v>
      </c>
      <c r="AB22" s="51">
        <f t="shared" si="17"/>
        <v>87.466627166005281</v>
      </c>
      <c r="AC22" s="51">
        <f t="shared" si="17"/>
        <v>92.195690095899479</v>
      </c>
    </row>
    <row r="23" spans="1:29" s="45" customFormat="1" ht="17.25" thickBot="1" x14ac:dyDescent="0.3">
      <c r="B23" s="52"/>
      <c r="I23" s="82"/>
      <c r="J23" s="96">
        <f>(J22-F22)/F22*100</f>
        <v>49.446424339860982</v>
      </c>
      <c r="K23" s="97">
        <f t="shared" ref="K23" si="18">(K22-G22)/G22*100</f>
        <v>56.823707738816211</v>
      </c>
      <c r="L23" s="97">
        <f t="shared" ref="L23" si="19">(L22-H22)/H22*100</f>
        <v>41.917365066883924</v>
      </c>
      <c r="M23" s="98">
        <f>(M22-I22)/I22*100</f>
        <v>45.219614936318685</v>
      </c>
      <c r="N23" s="87">
        <f>(N22-F22)/F22*100</f>
        <v>46.61739862331715</v>
      </c>
      <c r="O23" s="53">
        <f>(O22-G22)/G22*100</f>
        <v>54.063557249931506</v>
      </c>
      <c r="P23" s="53">
        <f>(P22-H22)/H22*100</f>
        <v>46.04115224324191</v>
      </c>
      <c r="Q23" s="53">
        <f>(Q22-I22)/I22*100</f>
        <v>45.339843949432009</v>
      </c>
      <c r="R23" s="53">
        <f>(R22-F22)/F22*100</f>
        <v>74.444687206576717</v>
      </c>
      <c r="S23" s="54">
        <f>(S22-G22)/G22*100</f>
        <v>69.237765197674094</v>
      </c>
      <c r="T23" s="54">
        <f>(T22-H22)/H22*100</f>
        <v>60.144959184133327</v>
      </c>
      <c r="U23" s="54">
        <f>(U22-I22)/I22*100</f>
        <v>49.574945655572868</v>
      </c>
      <c r="V23" s="54">
        <f>(V22-F22)/F22*100</f>
        <v>69.54698424492976</v>
      </c>
      <c r="W23" s="54">
        <f>(W22-G22)/G22*100</f>
        <v>65.894060164976153</v>
      </c>
      <c r="X23" s="54">
        <f>(X22-H22)/H22*100</f>
        <v>59.93536005291098</v>
      </c>
      <c r="Y23" s="54">
        <f>(Y22-I22)/I22*100</f>
        <v>45.977152567953837</v>
      </c>
      <c r="Z23" s="54">
        <f>(Z22-F22)/F22*100</f>
        <v>41.32533040913944</v>
      </c>
      <c r="AA23" s="54">
        <f>(AA22-G22)/G22*100</f>
        <v>51.397504857287259</v>
      </c>
      <c r="AB23" s="54">
        <f>(AB22-H22)/H22*100</f>
        <v>45.228437246755298</v>
      </c>
      <c r="AC23" s="54">
        <f>(AC22-I22)/I22*100</f>
        <v>44.632510104162478</v>
      </c>
    </row>
    <row r="24" spans="1:29" s="33" customFormat="1" x14ac:dyDescent="0.25">
      <c r="J24" s="89"/>
      <c r="K24" s="89"/>
      <c r="L24" s="89"/>
      <c r="M24" s="89"/>
    </row>
    <row r="25" spans="1:29" x14ac:dyDescent="0.25">
      <c r="A25" s="33" t="s">
        <v>70</v>
      </c>
    </row>
    <row r="26" spans="1:29" x14ac:dyDescent="0.25">
      <c r="A26" s="124" t="s">
        <v>71</v>
      </c>
      <c r="B26" s="125" t="s">
        <v>72</v>
      </c>
      <c r="C26" s="113" t="s">
        <v>42</v>
      </c>
      <c r="D26" s="114" t="s">
        <v>73</v>
      </c>
      <c r="E26" s="127" t="s">
        <v>44</v>
      </c>
      <c r="F26" s="120"/>
      <c r="G26" s="120"/>
      <c r="H26" s="116"/>
      <c r="I26" s="129"/>
      <c r="J26" s="129"/>
      <c r="K26" s="129"/>
      <c r="L26" s="129"/>
      <c r="M26" s="129"/>
      <c r="N26" s="129"/>
      <c r="O26" s="129"/>
      <c r="P26" s="129"/>
    </row>
    <row r="27" spans="1:29" x14ac:dyDescent="0.25">
      <c r="A27" s="124"/>
      <c r="B27" s="125"/>
      <c r="C27" s="113"/>
      <c r="D27" s="114"/>
      <c r="E27" s="35" t="s">
        <v>0</v>
      </c>
      <c r="F27" s="35" t="s">
        <v>27</v>
      </c>
      <c r="G27" s="35" t="s">
        <v>28</v>
      </c>
      <c r="H27" s="35" t="s">
        <v>29</v>
      </c>
      <c r="I27" s="130" t="s">
        <v>0</v>
      </c>
      <c r="J27" s="130" t="s">
        <v>27</v>
      </c>
      <c r="K27" s="130" t="s">
        <v>28</v>
      </c>
      <c r="L27" s="130" t="s">
        <v>29</v>
      </c>
      <c r="M27" s="130" t="s">
        <v>0</v>
      </c>
      <c r="N27" s="130" t="s">
        <v>27</v>
      </c>
      <c r="O27" s="130" t="s">
        <v>28</v>
      </c>
      <c r="P27" s="130" t="s">
        <v>29</v>
      </c>
    </row>
    <row r="28" spans="1:29" x14ac:dyDescent="0.25">
      <c r="A28" s="124"/>
      <c r="B28" s="125"/>
      <c r="C28" s="113"/>
      <c r="D28" s="114"/>
      <c r="E28" s="111" t="s">
        <v>74</v>
      </c>
      <c r="F28" s="111"/>
      <c r="G28" s="111"/>
      <c r="H28" s="111"/>
      <c r="I28" s="131" t="s">
        <v>75</v>
      </c>
      <c r="J28" s="131"/>
      <c r="K28" s="131"/>
      <c r="L28" s="131"/>
      <c r="M28" s="131" t="s">
        <v>76</v>
      </c>
      <c r="N28" s="131"/>
      <c r="O28" s="131"/>
      <c r="P28" s="131"/>
    </row>
    <row r="29" spans="1:29" x14ac:dyDescent="0.25">
      <c r="A29" s="56" t="s">
        <v>77</v>
      </c>
      <c r="B29" s="57"/>
      <c r="C29" s="57"/>
      <c r="D29" s="57"/>
      <c r="E29" s="58">
        <v>6.9</v>
      </c>
      <c r="F29" s="58">
        <v>8.9</v>
      </c>
      <c r="G29" s="58">
        <v>9.01</v>
      </c>
      <c r="H29" s="58">
        <v>13.54</v>
      </c>
      <c r="I29" s="132">
        <v>6.9</v>
      </c>
      <c r="J29" s="132">
        <v>8.9</v>
      </c>
      <c r="K29" s="132">
        <v>9.01</v>
      </c>
      <c r="L29" s="132">
        <v>13.54</v>
      </c>
      <c r="M29" s="132">
        <v>6.9</v>
      </c>
      <c r="N29" s="132">
        <v>8.9</v>
      </c>
      <c r="O29" s="132">
        <v>9.01</v>
      </c>
      <c r="P29" s="132">
        <v>13.54</v>
      </c>
    </row>
    <row r="30" spans="1:29" x14ac:dyDescent="0.25">
      <c r="A30" s="59" t="s">
        <v>78</v>
      </c>
      <c r="B30" s="60">
        <v>5.8999999999999997E-2</v>
      </c>
      <c r="C30" s="61">
        <v>2.5000000000000001E-2</v>
      </c>
      <c r="D30" s="62">
        <v>0.06</v>
      </c>
      <c r="E30" s="128"/>
      <c r="F30" s="128"/>
      <c r="G30" s="128"/>
      <c r="H30" s="128"/>
      <c r="I30" s="133"/>
      <c r="J30" s="133"/>
      <c r="K30" s="133"/>
      <c r="L30" s="133"/>
      <c r="M30" s="133"/>
      <c r="N30" s="133"/>
      <c r="O30" s="133"/>
      <c r="P30" s="133"/>
    </row>
    <row r="31" spans="1:29" x14ac:dyDescent="0.25">
      <c r="A31" s="36" t="s">
        <v>79</v>
      </c>
      <c r="B31" s="60">
        <f>B30*150</f>
        <v>8.85</v>
      </c>
      <c r="C31" s="61">
        <f>C30*150</f>
        <v>3.75</v>
      </c>
      <c r="D31" s="62">
        <f>D30*150</f>
        <v>9</v>
      </c>
      <c r="E31" s="63">
        <v>2.95</v>
      </c>
      <c r="F31" s="63">
        <v>2.78</v>
      </c>
      <c r="G31" s="63">
        <v>2.83</v>
      </c>
      <c r="H31" s="63">
        <v>2.83</v>
      </c>
      <c r="I31" s="132">
        <v>5.69</v>
      </c>
      <c r="J31" s="132">
        <v>4.8899999999999997</v>
      </c>
      <c r="K31" s="132">
        <v>4.84</v>
      </c>
      <c r="L31" s="132">
        <v>4.3600000000000003</v>
      </c>
      <c r="M31" s="132">
        <v>9.19</v>
      </c>
      <c r="N31" s="132">
        <v>7.43</v>
      </c>
      <c r="O31" s="132">
        <v>7.32</v>
      </c>
      <c r="P31" s="132">
        <v>6.38</v>
      </c>
    </row>
    <row r="32" spans="1:29" ht="33" x14ac:dyDescent="0.25">
      <c r="A32" s="64" t="s">
        <v>80</v>
      </c>
      <c r="B32" s="65"/>
      <c r="C32" s="57"/>
      <c r="D32" s="57"/>
      <c r="E32" s="66">
        <f>E29+E31</f>
        <v>9.8500000000000014</v>
      </c>
      <c r="F32" s="66">
        <f t="shared" ref="F32:P32" si="20">F29+F31</f>
        <v>11.68</v>
      </c>
      <c r="G32" s="66">
        <f t="shared" si="20"/>
        <v>11.84</v>
      </c>
      <c r="H32" s="66">
        <f t="shared" si="20"/>
        <v>16.369999999999997</v>
      </c>
      <c r="I32" s="134">
        <f t="shared" si="20"/>
        <v>12.59</v>
      </c>
      <c r="J32" s="134">
        <f t="shared" si="20"/>
        <v>13.79</v>
      </c>
      <c r="K32" s="134">
        <f t="shared" si="20"/>
        <v>13.85</v>
      </c>
      <c r="L32" s="134">
        <f t="shared" si="20"/>
        <v>17.899999999999999</v>
      </c>
      <c r="M32" s="134">
        <f t="shared" si="20"/>
        <v>16.09</v>
      </c>
      <c r="N32" s="134">
        <f t="shared" si="20"/>
        <v>16.329999999999998</v>
      </c>
      <c r="O32" s="134">
        <f t="shared" si="20"/>
        <v>16.329999999999998</v>
      </c>
      <c r="P32" s="134">
        <f t="shared" si="20"/>
        <v>19.919999999999998</v>
      </c>
    </row>
    <row r="33" spans="1:16" x14ac:dyDescent="0.25">
      <c r="A33" s="67" t="s">
        <v>81</v>
      </c>
      <c r="B33" s="68">
        <f>B31</f>
        <v>8.85</v>
      </c>
      <c r="C33" s="69">
        <f t="shared" ref="C33:D33" si="21">C31</f>
        <v>3.75</v>
      </c>
      <c r="D33" s="70">
        <f t="shared" si="21"/>
        <v>9</v>
      </c>
      <c r="E33" s="71">
        <f>E32</f>
        <v>9.8500000000000014</v>
      </c>
      <c r="F33" s="71">
        <f t="shared" ref="F33:P33" si="22">F32</f>
        <v>11.68</v>
      </c>
      <c r="G33" s="71">
        <f t="shared" si="22"/>
        <v>11.84</v>
      </c>
      <c r="H33" s="71">
        <f t="shared" si="22"/>
        <v>16.369999999999997</v>
      </c>
      <c r="I33" s="135">
        <f t="shared" si="22"/>
        <v>12.59</v>
      </c>
      <c r="J33" s="135">
        <f t="shared" si="22"/>
        <v>13.79</v>
      </c>
      <c r="K33" s="135">
        <f t="shared" si="22"/>
        <v>13.85</v>
      </c>
      <c r="L33" s="135">
        <f t="shared" si="22"/>
        <v>17.899999999999999</v>
      </c>
      <c r="M33" s="135">
        <f t="shared" si="22"/>
        <v>16.09</v>
      </c>
      <c r="N33" s="135">
        <f t="shared" si="22"/>
        <v>16.329999999999998</v>
      </c>
      <c r="O33" s="135">
        <f t="shared" si="22"/>
        <v>16.329999999999998</v>
      </c>
      <c r="P33" s="135">
        <f t="shared" si="22"/>
        <v>19.919999999999998</v>
      </c>
    </row>
    <row r="34" spans="1:16" x14ac:dyDescent="0.25">
      <c r="A34" s="41"/>
      <c r="B34" s="45"/>
      <c r="C34" s="45"/>
      <c r="D34" s="45"/>
      <c r="E34" s="126">
        <f>(E33-9)/9+1</f>
        <v>1.0944444444444446</v>
      </c>
      <c r="F34" s="126">
        <f>(F33-9)/9+1</f>
        <v>1.2977777777777777</v>
      </c>
      <c r="G34" s="126">
        <f>(G33-9)/9+1</f>
        <v>1.3155555555555556</v>
      </c>
      <c r="H34" s="126">
        <f>(H33-9)/9+1</f>
        <v>1.8188888888888886</v>
      </c>
      <c r="I34" s="136">
        <f t="shared" ref="E34:P34" si="23">(I33-9)/9*100</f>
        <v>39.888888888888886</v>
      </c>
      <c r="J34" s="136">
        <f t="shared" si="23"/>
        <v>53.222222222222214</v>
      </c>
      <c r="K34" s="136">
        <f t="shared" si="23"/>
        <v>53.888888888888886</v>
      </c>
      <c r="L34" s="136">
        <f t="shared" si="23"/>
        <v>98.888888888888872</v>
      </c>
      <c r="M34" s="136">
        <f t="shared" si="23"/>
        <v>78.777777777777786</v>
      </c>
      <c r="N34" s="136">
        <f t="shared" si="23"/>
        <v>81.444444444444429</v>
      </c>
      <c r="O34" s="136">
        <f t="shared" si="23"/>
        <v>81.444444444444429</v>
      </c>
      <c r="P34" s="136">
        <f t="shared" si="23"/>
        <v>121.33333333333331</v>
      </c>
    </row>
    <row r="35" spans="1:16" x14ac:dyDescent="0.25">
      <c r="A35" s="33" t="s">
        <v>82</v>
      </c>
    </row>
    <row r="36" spans="1:16" x14ac:dyDescent="0.25">
      <c r="A36" s="124" t="s">
        <v>41</v>
      </c>
      <c r="B36" s="125" t="s">
        <v>72</v>
      </c>
      <c r="C36" s="113" t="s">
        <v>42</v>
      </c>
      <c r="D36" s="113"/>
      <c r="E36" s="113"/>
      <c r="F36" s="113"/>
      <c r="G36" s="114" t="s">
        <v>73</v>
      </c>
      <c r="H36" s="114"/>
      <c r="I36" s="114"/>
      <c r="J36" s="114"/>
      <c r="K36" s="111" t="s">
        <v>44</v>
      </c>
    </row>
    <row r="37" spans="1:16" x14ac:dyDescent="0.25">
      <c r="A37" s="124"/>
      <c r="B37" s="125"/>
      <c r="C37" s="72" t="s">
        <v>83</v>
      </c>
      <c r="D37" s="72" t="s">
        <v>46</v>
      </c>
      <c r="E37" s="72" t="s">
        <v>47</v>
      </c>
      <c r="F37" s="72" t="s">
        <v>48</v>
      </c>
      <c r="G37" s="73" t="s">
        <v>49</v>
      </c>
      <c r="H37" s="73" t="s">
        <v>50</v>
      </c>
      <c r="I37" s="73" t="s">
        <v>51</v>
      </c>
      <c r="J37" s="73" t="s">
        <v>52</v>
      </c>
      <c r="K37" s="111"/>
    </row>
    <row r="38" spans="1:16" x14ac:dyDescent="0.25">
      <c r="A38" s="36" t="s">
        <v>84</v>
      </c>
      <c r="B38" s="74">
        <f>B39/1000000</f>
        <v>482.90421600000002</v>
      </c>
      <c r="C38" s="75">
        <f t="shared" ref="C38:K38" si="24">C39/1000000</f>
        <v>321.93614400000001</v>
      </c>
      <c r="D38" s="75">
        <f t="shared" si="24"/>
        <v>160.97153599999999</v>
      </c>
      <c r="E38" s="75">
        <f t="shared" si="24"/>
        <v>160.97153599999999</v>
      </c>
      <c r="F38" s="75">
        <f t="shared" si="24"/>
        <v>80.489232000000001</v>
      </c>
      <c r="G38" s="76">
        <f t="shared" si="24"/>
        <v>321.93614400000001</v>
      </c>
      <c r="H38" s="76">
        <f t="shared" si="24"/>
        <v>160.97153599999999</v>
      </c>
      <c r="I38" s="76">
        <f t="shared" si="24"/>
        <v>160.97153599999999</v>
      </c>
      <c r="J38" s="76">
        <f t="shared" si="24"/>
        <v>80.489232000000001</v>
      </c>
      <c r="K38" s="58">
        <f t="shared" si="24"/>
        <v>93.136461999999995</v>
      </c>
    </row>
    <row r="39" spans="1:16" x14ac:dyDescent="0.25">
      <c r="A39" s="36" t="s">
        <v>85</v>
      </c>
      <c r="B39" s="74">
        <v>482904216</v>
      </c>
      <c r="C39" s="61">
        <v>321936144</v>
      </c>
      <c r="D39" s="61">
        <v>160971536</v>
      </c>
      <c r="E39" s="61">
        <v>160971536</v>
      </c>
      <c r="F39" s="61">
        <v>80489232</v>
      </c>
      <c r="G39" s="62">
        <v>321936144</v>
      </c>
      <c r="H39" s="62">
        <v>160971536</v>
      </c>
      <c r="I39" s="62">
        <v>160971536</v>
      </c>
      <c r="J39" s="62">
        <v>80489232</v>
      </c>
      <c r="K39" s="58">
        <v>93136462</v>
      </c>
    </row>
    <row r="40" spans="1:16" x14ac:dyDescent="0.25">
      <c r="A40" s="36"/>
      <c r="B40" s="36"/>
      <c r="C40" s="36"/>
      <c r="D40" s="21"/>
      <c r="E40" s="21"/>
      <c r="F40" s="21"/>
      <c r="G40" s="21"/>
      <c r="H40" s="21"/>
      <c r="I40" s="21"/>
      <c r="J40" s="21"/>
      <c r="K40" s="45">
        <f>(K39-AVERAGE(G39:J39))/AVERAGE(G39:J39)*100</f>
        <v>-48.569564421447573</v>
      </c>
    </row>
    <row r="41" spans="1:16" x14ac:dyDescent="0.25">
      <c r="B41" s="32"/>
    </row>
    <row r="42" spans="1:16" x14ac:dyDescent="0.25">
      <c r="B42" s="32"/>
    </row>
    <row r="43" spans="1:16" x14ac:dyDescent="0.25">
      <c r="B43" s="32"/>
    </row>
    <row r="44" spans="1:16" x14ac:dyDescent="0.25">
      <c r="B44" s="32"/>
    </row>
    <row r="45" spans="1:16" x14ac:dyDescent="0.25">
      <c r="B45" s="32"/>
    </row>
    <row r="46" spans="1:16" x14ac:dyDescent="0.25">
      <c r="B46" s="32"/>
    </row>
    <row r="47" spans="1:16" x14ac:dyDescent="0.25">
      <c r="B47" s="32"/>
    </row>
    <row r="48" spans="1:16" x14ac:dyDescent="0.25">
      <c r="B48" s="32"/>
    </row>
    <row r="49" spans="2:2" x14ac:dyDescent="0.25">
      <c r="B49" s="32"/>
    </row>
    <row r="50" spans="2:2" x14ac:dyDescent="0.25">
      <c r="B50" s="32"/>
    </row>
    <row r="51" spans="2:2" x14ac:dyDescent="0.25">
      <c r="B51" s="32"/>
    </row>
    <row r="52" spans="2:2" x14ac:dyDescent="0.25">
      <c r="B52" s="32"/>
    </row>
  </sheetData>
  <mergeCells count="31">
    <mergeCell ref="A26:A28"/>
    <mergeCell ref="B26:B28"/>
    <mergeCell ref="C26:C28"/>
    <mergeCell ref="D26:D28"/>
    <mergeCell ref="E28:H28"/>
    <mergeCell ref="I28:L28"/>
    <mergeCell ref="E26:H26"/>
    <mergeCell ref="A36:A37"/>
    <mergeCell ref="B36:B37"/>
    <mergeCell ref="C36:F36"/>
    <mergeCell ref="G36:J36"/>
    <mergeCell ref="K36:K37"/>
    <mergeCell ref="M28:P28"/>
    <mergeCell ref="H4:H5"/>
    <mergeCell ref="I4:I5"/>
    <mergeCell ref="N5:Q5"/>
    <mergeCell ref="R5:U5"/>
    <mergeCell ref="J5:M5"/>
    <mergeCell ref="V5:Y5"/>
    <mergeCell ref="Z5:AC5"/>
    <mergeCell ref="A3:A5"/>
    <mergeCell ref="B3:E3"/>
    <mergeCell ref="F3:I3"/>
    <mergeCell ref="B4:B5"/>
    <mergeCell ref="C4:C5"/>
    <mergeCell ref="D4:D5"/>
    <mergeCell ref="E4:E5"/>
    <mergeCell ref="F4:F5"/>
    <mergeCell ref="G4:G5"/>
    <mergeCell ref="N3:AC3"/>
    <mergeCell ref="J3:M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similarity</vt:lpstr>
      <vt:lpstr>source</vt:lpstr>
      <vt:lpstr>target</vt:lpstr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user20427</dc:creator>
  <cp:lastModifiedBy>user20427</cp:lastModifiedBy>
  <dcterms:created xsi:type="dcterms:W3CDTF">2023-05-03T07:28:23Z</dcterms:created>
  <dcterms:modified xsi:type="dcterms:W3CDTF">2023-05-04T08:12:28Z</dcterms:modified>
</cp:coreProperties>
</file>